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anty\Desktop\"/>
    </mc:Choice>
  </mc:AlternateContent>
  <xr:revisionPtr revIDLastSave="0" documentId="13_ncr:1_{E3151B63-1994-4193-92C1-B3DA31053A4E}" xr6:coauthVersionLast="47" xr6:coauthVersionMax="47" xr10:uidLastSave="{00000000-0000-0000-0000-000000000000}"/>
  <bookViews>
    <workbookView xWindow="-108" yWindow="-108" windowWidth="23256" windowHeight="12456" firstSheet="1" activeTab="3" xr2:uid="{00000000-000D-0000-FFFF-FFFF00000000}"/>
  </bookViews>
  <sheets>
    <sheet name="Customer" sheetId="7" r:id="rId1"/>
    <sheet name="ecommerce_orders" sheetId="2" r:id="rId2"/>
    <sheet name="Pivot" sheetId="1" r:id="rId3"/>
    <sheet name="Dashboard" sheetId="12" r:id="rId4"/>
  </sheets>
  <definedNames>
    <definedName name="_xlcn.WorksheetConnection_EccommersCopy.xlsxecommerce_orders1" hidden="1">ecommerce_orders[]</definedName>
    <definedName name="_xlcn.WorksheetConnection_EccommersCopy.xlsxTable31" hidden="1">Table3[]</definedName>
    <definedName name="ExternalData_1" localSheetId="1" hidden="1">ecommerce_orders!$A$1:$O$501</definedName>
    <definedName name="Slicer_Months__Order_Date">#N/A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Customer" connection="WorksheetConnection_Eccommers - Copy.xlsx!Table3"/>
          <x15:modelTable id="ecommerce_orders" name="ecommerce_orders" connection="WorksheetConnection_Eccommers - Copy.xlsx!ecommerce_orders"/>
        </x15:modelTables>
        <x15:modelRelationships>
          <x15:modelRelationship fromTable="ecommerce_orders"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8" i="1" l="1"/>
  <c r="D39" i="1"/>
  <c r="D40" i="1"/>
  <c r="D37" i="1"/>
  <c r="H3" i="1"/>
  <c r="J3" i="1"/>
  <c r="E26" i="1"/>
  <c r="E27" i="1"/>
  <c r="E28" i="1"/>
  <c r="E25" i="1"/>
  <c r="I3" i="1"/>
  <c r="P17" i="1"/>
  <c r="P18" i="1"/>
  <c r="P19" i="1"/>
  <c r="P20" i="1"/>
  <c r="P16" i="1"/>
  <c r="O502" i="2"/>
  <c r="A502" i="2"/>
  <c r="F502" i="2"/>
  <c r="L502" i="2"/>
  <c r="M502" i="2"/>
  <c r="N502" i="2"/>
  <c r="F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DEC592-691A-41A9-A4D8-50260FB0BD02}" keepAlive="1" name="Query - ecommerce_orders" description="Connection to the 'ecommerce_orders' query in the workbook." type="5" refreshedVersion="8" background="1" saveData="1">
    <dbPr connection="Provider=Microsoft.Mashup.OleDb.1;Data Source=$Workbook$;Location=ecommerce_orders;Extended Properties=&quot;&quot;" command="SELECT * FROM [ecommerce_orders]"/>
  </connection>
  <connection id="2" xr16:uid="{39EE7799-3676-4B33-BA52-5A67403DB0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443CF09-8365-421C-AF88-E33F14AA3680}" name="WorksheetConnection_Eccommers - Copy.xlsx!ecommerce_orders" type="102" refreshedVersion="8" minRefreshableVersion="5">
    <extLst>
      <ext xmlns:x15="http://schemas.microsoft.com/office/spreadsheetml/2010/11/main" uri="{DE250136-89BD-433C-8126-D09CA5730AF9}">
        <x15:connection id="ecommerce_orders">
          <x15:rangePr sourceName="_xlcn.WorksheetConnection_EccommersCopy.xlsxecommerce_orders1"/>
        </x15:connection>
      </ext>
    </extLst>
  </connection>
  <connection id="4" xr16:uid="{ABCE446C-E324-4D96-AF16-785E74F44222}" name="WorksheetConnection_Eccommers - Copy.xlsx!Table3" type="102" refreshedVersion="8" minRefreshableVersion="5">
    <extLst>
      <ext xmlns:x15="http://schemas.microsoft.com/office/spreadsheetml/2010/11/main" uri="{DE250136-89BD-433C-8126-D09CA5730AF9}">
        <x15:connection id="Table3">
          <x15:rangePr sourceName="_xlcn.WorksheetConnection_EccommersCopy.xlsxTable31"/>
        </x15:connection>
      </ext>
    </extLst>
  </connection>
</connections>
</file>

<file path=xl/sharedStrings.xml><?xml version="1.0" encoding="utf-8"?>
<sst xmlns="http://schemas.openxmlformats.org/spreadsheetml/2006/main" count="3867" uniqueCount="689">
  <si>
    <t>Order_ID</t>
  </si>
  <si>
    <t>Order_Date</t>
  </si>
  <si>
    <t>Customer_ID</t>
  </si>
  <si>
    <t>Category</t>
  </si>
  <si>
    <t>Product</t>
  </si>
  <si>
    <t>Quantity</t>
  </si>
  <si>
    <t>Unit_Price</t>
  </si>
  <si>
    <t>Discount</t>
  </si>
  <si>
    <t>Region</t>
  </si>
  <si>
    <t>Payment_Method</t>
  </si>
  <si>
    <t>Order_Status</t>
  </si>
  <si>
    <t>O0119</t>
  </si>
  <si>
    <t>C085</t>
  </si>
  <si>
    <t>Accessories</t>
  </si>
  <si>
    <t>Phone Holder</t>
  </si>
  <si>
    <t>South</t>
  </si>
  <si>
    <t>Cash on Delivery</t>
  </si>
  <si>
    <t>Delivered</t>
  </si>
  <si>
    <t>O0026</t>
  </si>
  <si>
    <t>C010</t>
  </si>
  <si>
    <t>Electronics</t>
  </si>
  <si>
    <t>Keyboard</t>
  </si>
  <si>
    <t>East</t>
  </si>
  <si>
    <t>UPI</t>
  </si>
  <si>
    <t>Cancelled</t>
  </si>
  <si>
    <t>O0331</t>
  </si>
  <si>
    <t>C069</t>
  </si>
  <si>
    <t>O0261</t>
  </si>
  <si>
    <t>C014</t>
  </si>
  <si>
    <t>Stationery</t>
  </si>
  <si>
    <t>Marker Set</t>
  </si>
  <si>
    <t>Net Banking</t>
  </si>
  <si>
    <t>O0411</t>
  </si>
  <si>
    <t>C034</t>
  </si>
  <si>
    <t>Home</t>
  </si>
  <si>
    <t>Office Chair</t>
  </si>
  <si>
    <t>West</t>
  </si>
  <si>
    <t>O0162</t>
  </si>
  <si>
    <t>C023</t>
  </si>
  <si>
    <t>Storage Box</t>
  </si>
  <si>
    <t>North</t>
  </si>
  <si>
    <t>O0309</t>
  </si>
  <si>
    <t>C031</t>
  </si>
  <si>
    <t>O0332</t>
  </si>
  <si>
    <t>C065</t>
  </si>
  <si>
    <t>O0051</t>
  </si>
  <si>
    <t>Notebook</t>
  </si>
  <si>
    <t>Debit Card</t>
  </si>
  <si>
    <t>O0151</t>
  </si>
  <si>
    <t>C080</t>
  </si>
  <si>
    <t>Returned</t>
  </si>
  <si>
    <t>O0473</t>
  </si>
  <si>
    <t>C027</t>
  </si>
  <si>
    <t>Desk Lamp</t>
  </si>
  <si>
    <t>O0055</t>
  </si>
  <si>
    <t>C015</t>
  </si>
  <si>
    <t>O0251</t>
  </si>
  <si>
    <t>C011</t>
  </si>
  <si>
    <t>Credit Card</t>
  </si>
  <si>
    <t>O0304</t>
  </si>
  <si>
    <t>C037</t>
  </si>
  <si>
    <t>O0381</t>
  </si>
  <si>
    <t>C036</t>
  </si>
  <si>
    <t>Water Bottle</t>
  </si>
  <si>
    <t>O0467</t>
  </si>
  <si>
    <t>C038</t>
  </si>
  <si>
    <t>Wireless Mouse</t>
  </si>
  <si>
    <t>O0048</t>
  </si>
  <si>
    <t>C048</t>
  </si>
  <si>
    <t>Cable Organizer</t>
  </si>
  <si>
    <t>O0118</t>
  </si>
  <si>
    <t>C059</t>
  </si>
  <si>
    <t>Headphones</t>
  </si>
  <si>
    <t>O0423</t>
  </si>
  <si>
    <t>C071</t>
  </si>
  <si>
    <t>O0223</t>
  </si>
  <si>
    <t>C082</t>
  </si>
  <si>
    <t>Planner</t>
  </si>
  <si>
    <t>O0262</t>
  </si>
  <si>
    <t>C052</t>
  </si>
  <si>
    <t>O0266</t>
  </si>
  <si>
    <t>C005</t>
  </si>
  <si>
    <t>Webcam</t>
  </si>
  <si>
    <t>O0303</t>
  </si>
  <si>
    <t>C055</t>
  </si>
  <si>
    <t>Pen Set</t>
  </si>
  <si>
    <t>O0422</t>
  </si>
  <si>
    <t>C002</t>
  </si>
  <si>
    <t>O0425</t>
  </si>
  <si>
    <t>O0032</t>
  </si>
  <si>
    <t>C084</t>
  </si>
  <si>
    <t>O0036</t>
  </si>
  <si>
    <t>C075</t>
  </si>
  <si>
    <t>Backpack</t>
  </si>
  <si>
    <t>O0314</t>
  </si>
  <si>
    <t>C045</t>
  </si>
  <si>
    <t>O0395</t>
  </si>
  <si>
    <t>C006</t>
  </si>
  <si>
    <t>USB Hub</t>
  </si>
  <si>
    <t>O0408</t>
  </si>
  <si>
    <t>O0136</t>
  </si>
  <si>
    <t>O0234</t>
  </si>
  <si>
    <t>O0301</t>
  </si>
  <si>
    <t>O0336</t>
  </si>
  <si>
    <t>O0106</t>
  </si>
  <si>
    <t>C079</t>
  </si>
  <si>
    <t>O0111</t>
  </si>
  <si>
    <t>C022</t>
  </si>
  <si>
    <t>Table Fan</t>
  </si>
  <si>
    <t>O0285</t>
  </si>
  <si>
    <t>C099</t>
  </si>
  <si>
    <t>O0328</t>
  </si>
  <si>
    <t>C068</t>
  </si>
  <si>
    <t>O0387</t>
  </si>
  <si>
    <t>C073</t>
  </si>
  <si>
    <t>O0389</t>
  </si>
  <si>
    <t>O0430</t>
  </si>
  <si>
    <t>C019</t>
  </si>
  <si>
    <t>O0432</t>
  </si>
  <si>
    <t>C056</t>
  </si>
  <si>
    <t>O0226</t>
  </si>
  <si>
    <t>C092</t>
  </si>
  <si>
    <t>File Folder</t>
  </si>
  <si>
    <t>O0492</t>
  </si>
  <si>
    <t>C040</t>
  </si>
  <si>
    <t>Laptop Stand</t>
  </si>
  <si>
    <t>O0042</t>
  </si>
  <si>
    <t>C032</t>
  </si>
  <si>
    <t>O0054</t>
  </si>
  <si>
    <t>O0058</t>
  </si>
  <si>
    <t>C086</t>
  </si>
  <si>
    <t>O0081</t>
  </si>
  <si>
    <t>C100</t>
  </si>
  <si>
    <t>O0464</t>
  </si>
  <si>
    <t>O0482</t>
  </si>
  <si>
    <t>C012</t>
  </si>
  <si>
    <t>O0263</t>
  </si>
  <si>
    <t>C050</t>
  </si>
  <si>
    <t>O0187</t>
  </si>
  <si>
    <t>C041</t>
  </si>
  <si>
    <t>O0237</t>
  </si>
  <si>
    <t>C074</t>
  </si>
  <si>
    <t>O0424</t>
  </si>
  <si>
    <t>O0037</t>
  </si>
  <si>
    <t>C024</t>
  </si>
  <si>
    <t>O0080</t>
  </si>
  <si>
    <t>C061</t>
  </si>
  <si>
    <t>O0107</t>
  </si>
  <si>
    <t>C021</t>
  </si>
  <si>
    <t>O0218</t>
  </si>
  <si>
    <t>C003</t>
  </si>
  <si>
    <t>O0232</t>
  </si>
  <si>
    <t>C042</t>
  </si>
  <si>
    <t>O0334</t>
  </si>
  <si>
    <t>O0335</t>
  </si>
  <si>
    <t>O0199</t>
  </si>
  <si>
    <t>O0204</t>
  </si>
  <si>
    <t>O0431</t>
  </si>
  <si>
    <t>O0385</t>
  </si>
  <si>
    <t>C057</t>
  </si>
  <si>
    <t>O0149</t>
  </si>
  <si>
    <t>C051</t>
  </si>
  <si>
    <t>O0171</t>
  </si>
  <si>
    <t>O0399</t>
  </si>
  <si>
    <t>C091</t>
  </si>
  <si>
    <t>O0006</t>
  </si>
  <si>
    <t>C046</t>
  </si>
  <si>
    <t>O0257</t>
  </si>
  <si>
    <t>C007</t>
  </si>
  <si>
    <t>O0367</t>
  </si>
  <si>
    <t>O0131</t>
  </si>
  <si>
    <t>O0207</t>
  </si>
  <si>
    <t>O0466</t>
  </si>
  <si>
    <t>C062</t>
  </si>
  <si>
    <t>O0470</t>
  </si>
  <si>
    <t>C043</t>
  </si>
  <si>
    <t>O0002</t>
  </si>
  <si>
    <t>C087</t>
  </si>
  <si>
    <t>O0117</t>
  </si>
  <si>
    <t>O0365</t>
  </si>
  <si>
    <t>O0372</t>
  </si>
  <si>
    <t>O0439</t>
  </si>
  <si>
    <t>C018</t>
  </si>
  <si>
    <t>O0044</t>
  </si>
  <si>
    <t>C096</t>
  </si>
  <si>
    <t>O0084</t>
  </si>
  <si>
    <t>O0256</t>
  </si>
  <si>
    <t>O0363</t>
  </si>
  <si>
    <t>O0434</t>
  </si>
  <si>
    <t>C020</t>
  </si>
  <si>
    <t>O0289</t>
  </si>
  <si>
    <t>O0123</t>
  </si>
  <si>
    <t>C060</t>
  </si>
  <si>
    <t>O0238</t>
  </si>
  <si>
    <t>C004</t>
  </si>
  <si>
    <t>O0300</t>
  </si>
  <si>
    <t>C088</t>
  </si>
  <si>
    <t>O0025</t>
  </si>
  <si>
    <t>O0405</t>
  </si>
  <si>
    <t>C076</t>
  </si>
  <si>
    <t>O0077</t>
  </si>
  <si>
    <t>O0418</t>
  </si>
  <si>
    <t>O0040</t>
  </si>
  <si>
    <t>O0121</t>
  </si>
  <si>
    <t>O0208</t>
  </si>
  <si>
    <t>C077</t>
  </si>
  <si>
    <t>O0244</t>
  </si>
  <si>
    <t>O0401</t>
  </si>
  <si>
    <t>O0455</t>
  </si>
  <si>
    <t>C044</t>
  </si>
  <si>
    <t>O0240</t>
  </si>
  <si>
    <t>O0072</t>
  </si>
  <si>
    <t>O0243</t>
  </si>
  <si>
    <t>O0329</t>
  </si>
  <si>
    <t>C081</t>
  </si>
  <si>
    <t>O0378</t>
  </si>
  <si>
    <t>O0417</t>
  </si>
  <si>
    <t>C090</t>
  </si>
  <si>
    <t>O0316</t>
  </si>
  <si>
    <t>O0340</t>
  </si>
  <si>
    <t>C097</t>
  </si>
  <si>
    <t>O0064</t>
  </si>
  <si>
    <t>O0066</t>
  </si>
  <si>
    <t>O0125</t>
  </si>
  <si>
    <t>O0214</t>
  </si>
  <si>
    <t>O0279</t>
  </si>
  <si>
    <t>O0437</t>
  </si>
  <si>
    <t>O0484</t>
  </si>
  <si>
    <t>O0333</t>
  </si>
  <si>
    <t>O0404</t>
  </si>
  <si>
    <t>C053</t>
  </si>
  <si>
    <t>Travel Pouch</t>
  </si>
  <si>
    <t>O0082</t>
  </si>
  <si>
    <t>O0436</t>
  </si>
  <si>
    <t>O0458</t>
  </si>
  <si>
    <t>C094</t>
  </si>
  <si>
    <t>O0250</t>
  </si>
  <si>
    <t>O0115</t>
  </si>
  <si>
    <t>O0161</t>
  </si>
  <si>
    <t>O0438</t>
  </si>
  <si>
    <t>O0480</t>
  </si>
  <si>
    <t>O0286</t>
  </si>
  <si>
    <t>O0306</t>
  </si>
  <si>
    <t>O0031</t>
  </si>
  <si>
    <t>O0448</t>
  </si>
  <si>
    <t>O0461</t>
  </si>
  <si>
    <t>C078</t>
  </si>
  <si>
    <t>O0370</t>
  </si>
  <si>
    <t>O0475</t>
  </si>
  <si>
    <t>O0057</t>
  </si>
  <si>
    <t>C033</t>
  </si>
  <si>
    <t>O0318</t>
  </si>
  <si>
    <t>O0191</t>
  </si>
  <si>
    <t>O0020</t>
  </si>
  <si>
    <t>O0085</t>
  </si>
  <si>
    <t>O0110</t>
  </si>
  <si>
    <t>O0141</t>
  </si>
  <si>
    <t>O0325</t>
  </si>
  <si>
    <t>O0353</t>
  </si>
  <si>
    <t>O0441</t>
  </si>
  <si>
    <t>C083</t>
  </si>
  <si>
    <t>O0446</t>
  </si>
  <si>
    <t>O0493</t>
  </si>
  <si>
    <t>C008</t>
  </si>
  <si>
    <t>O0159</t>
  </si>
  <si>
    <t>C009</t>
  </si>
  <si>
    <t>O0321</t>
  </si>
  <si>
    <t>O0414</t>
  </si>
  <si>
    <t>O0010</t>
  </si>
  <si>
    <t>O0092</t>
  </si>
  <si>
    <t>O0206</t>
  </si>
  <si>
    <t>O0320</t>
  </si>
  <si>
    <t>C025</t>
  </si>
  <si>
    <t>O0491</t>
  </si>
  <si>
    <t>O0497</t>
  </si>
  <si>
    <t>C029</t>
  </si>
  <si>
    <t>O0003</t>
  </si>
  <si>
    <t>C030</t>
  </si>
  <si>
    <t>O0500</t>
  </si>
  <si>
    <t>O0004</t>
  </si>
  <si>
    <t>C058</t>
  </si>
  <si>
    <t>O0296</t>
  </si>
  <si>
    <t>O0216</t>
  </si>
  <si>
    <t>O0248</t>
  </si>
  <si>
    <t>O0400</t>
  </si>
  <si>
    <t>C067</t>
  </si>
  <si>
    <t>O0012</t>
  </si>
  <si>
    <t>O0114</t>
  </si>
  <si>
    <t>O0027</t>
  </si>
  <si>
    <t>O0134</t>
  </si>
  <si>
    <t>O0156</t>
  </si>
  <si>
    <t>C047</t>
  </si>
  <si>
    <t>O0219</t>
  </si>
  <si>
    <t>C039</t>
  </si>
  <si>
    <t>O0294</t>
  </si>
  <si>
    <t>O0471</t>
  </si>
  <si>
    <t>C013</t>
  </si>
  <si>
    <t>O0138</t>
  </si>
  <si>
    <t>C064</t>
  </si>
  <si>
    <t>O0450</t>
  </si>
  <si>
    <t>C035</t>
  </si>
  <si>
    <t>O0011</t>
  </si>
  <si>
    <t>O0253</t>
  </si>
  <si>
    <t>O0272</t>
  </si>
  <si>
    <t>O0014</t>
  </si>
  <si>
    <t>O0038</t>
  </si>
  <si>
    <t>O0070</t>
  </si>
  <si>
    <t>O0083</t>
  </si>
  <si>
    <t>O0192</t>
  </si>
  <si>
    <t>C026</t>
  </si>
  <si>
    <t>O0280</t>
  </si>
  <si>
    <t>O0317</t>
  </si>
  <si>
    <t>O0421</t>
  </si>
  <si>
    <t>O0496</t>
  </si>
  <si>
    <t>O0019</t>
  </si>
  <si>
    <t>O0351</t>
  </si>
  <si>
    <t>O0076</t>
  </si>
  <si>
    <t>O0089</t>
  </si>
  <si>
    <t>O0147</t>
  </si>
  <si>
    <t>O0281</t>
  </si>
  <si>
    <t>O0347</t>
  </si>
  <si>
    <t>O0419</t>
  </si>
  <si>
    <t>O0157</t>
  </si>
  <si>
    <t>O0313</t>
  </si>
  <si>
    <t>O0406</t>
  </si>
  <si>
    <t>O0005</t>
  </si>
  <si>
    <t>O0109</t>
  </si>
  <si>
    <t>O0394</t>
  </si>
  <si>
    <t>O0196</t>
  </si>
  <si>
    <t>O0217</t>
  </si>
  <si>
    <t>O0485</t>
  </si>
  <si>
    <t>O0388</t>
  </si>
  <si>
    <t>O0035</t>
  </si>
  <si>
    <t>C028</t>
  </si>
  <si>
    <t>O0345</t>
  </si>
  <si>
    <t>O0268</t>
  </si>
  <si>
    <t>O0277</t>
  </si>
  <si>
    <t>O0287</t>
  </si>
  <si>
    <t>O0315</t>
  </si>
  <si>
    <t>C049</t>
  </si>
  <si>
    <t>O0061</t>
  </si>
  <si>
    <t>O0100</t>
  </si>
  <si>
    <t>O0104</t>
  </si>
  <si>
    <t>O0153</t>
  </si>
  <si>
    <t>O0184</t>
  </si>
  <si>
    <t>O0397</t>
  </si>
  <si>
    <t>O0407</t>
  </si>
  <si>
    <t>O0183</t>
  </si>
  <si>
    <t>O0295</t>
  </si>
  <si>
    <t>C089</t>
  </si>
  <si>
    <t>O0366</t>
  </si>
  <si>
    <t>O0013</t>
  </si>
  <si>
    <t>O0227</t>
  </si>
  <si>
    <t>O0273</t>
  </si>
  <si>
    <t>C054</t>
  </si>
  <si>
    <t>O0255</t>
  </si>
  <si>
    <t>O0090</t>
  </si>
  <si>
    <t>O0390</t>
  </si>
  <si>
    <t>O0258</t>
  </si>
  <si>
    <t>O0349</t>
  </si>
  <si>
    <t>O0392</t>
  </si>
  <si>
    <t>O0433</t>
  </si>
  <si>
    <t>O0293</t>
  </si>
  <si>
    <t>O0337</t>
  </si>
  <si>
    <t>O0030</t>
  </si>
  <si>
    <t>O0190</t>
  </si>
  <si>
    <t>O0290</t>
  </si>
  <si>
    <t>O0368</t>
  </si>
  <si>
    <t>O0140</t>
  </si>
  <si>
    <t>O0224</t>
  </si>
  <si>
    <t>O0241</t>
  </si>
  <si>
    <t>O0308</t>
  </si>
  <si>
    <t>O0342</t>
  </si>
  <si>
    <t>O0053</t>
  </si>
  <si>
    <t>O0278</t>
  </si>
  <si>
    <t>C072</t>
  </si>
  <si>
    <t>O0386</t>
  </si>
  <si>
    <t>O0075</t>
  </si>
  <si>
    <t>O0144</t>
  </si>
  <si>
    <t>O0195</t>
  </si>
  <si>
    <t>O0327</t>
  </si>
  <si>
    <t>O0451</t>
  </si>
  <si>
    <t>O0344</t>
  </si>
  <si>
    <t>O0447</t>
  </si>
  <si>
    <t>O0015</t>
  </si>
  <si>
    <t>O0088</t>
  </si>
  <si>
    <t>O0361</t>
  </si>
  <si>
    <t>O0472</t>
  </si>
  <si>
    <t>C001</t>
  </si>
  <si>
    <t>O0049</t>
  </si>
  <si>
    <t>O0265</t>
  </si>
  <si>
    <t>O0410</t>
  </si>
  <si>
    <t>C070</t>
  </si>
  <si>
    <t>O0154</t>
  </si>
  <si>
    <t>O0229</t>
  </si>
  <si>
    <t>O0402</t>
  </si>
  <si>
    <t>O0494</t>
  </si>
  <si>
    <t>O0376</t>
  </si>
  <si>
    <t>O0440</t>
  </si>
  <si>
    <t>O0007</t>
  </si>
  <si>
    <t>O0179</t>
  </si>
  <si>
    <t>O0429</t>
  </si>
  <si>
    <t>C095</t>
  </si>
  <si>
    <t>O0468</t>
  </si>
  <si>
    <t>O0009</t>
  </si>
  <si>
    <t>O0354</t>
  </si>
  <si>
    <t>O0443</t>
  </si>
  <si>
    <t>O0129</t>
  </si>
  <si>
    <t>O0034</t>
  </si>
  <si>
    <t>O0346</t>
  </si>
  <si>
    <t>O0357</t>
  </si>
  <si>
    <t>O0364</t>
  </si>
  <si>
    <t>O0474</t>
  </si>
  <si>
    <t>O0103</t>
  </si>
  <si>
    <t>C063</t>
  </si>
  <si>
    <t>O0095</t>
  </si>
  <si>
    <t>O0188</t>
  </si>
  <si>
    <t>O0291</t>
  </si>
  <si>
    <t>O0028</t>
  </si>
  <si>
    <t>O0050</t>
  </si>
  <si>
    <t>O0073</t>
  </si>
  <si>
    <t>O0245</t>
  </si>
  <si>
    <t>O0428</t>
  </si>
  <si>
    <t>O0169</t>
  </si>
  <si>
    <t>O0209</t>
  </si>
  <si>
    <t>O0445</t>
  </si>
  <si>
    <t>O0126</t>
  </si>
  <si>
    <t>O0146</t>
  </si>
  <si>
    <t>O0215</t>
  </si>
  <si>
    <t>O0252</t>
  </si>
  <si>
    <t>O0254</t>
  </si>
  <si>
    <t>O0465</t>
  </si>
  <si>
    <t>O0046</t>
  </si>
  <si>
    <t>O0173</t>
  </si>
  <si>
    <t>C093</t>
  </si>
  <si>
    <t>O0231</t>
  </si>
  <si>
    <t>O0377</t>
  </si>
  <si>
    <t>O0078</t>
  </si>
  <si>
    <t>O0165</t>
  </si>
  <si>
    <t>O0221</t>
  </si>
  <si>
    <t>O0371</t>
  </si>
  <si>
    <t>O0056</t>
  </si>
  <si>
    <t>O0189</t>
  </si>
  <si>
    <t>O0415</t>
  </si>
  <si>
    <t>O0071</t>
  </si>
  <si>
    <t>O0102</t>
  </si>
  <si>
    <t>O0145</t>
  </si>
  <si>
    <t>O0194</t>
  </si>
  <si>
    <t>O0396</t>
  </si>
  <si>
    <t>O0047</t>
  </si>
  <si>
    <t>O0062</t>
  </si>
  <si>
    <t>O0181</t>
  </si>
  <si>
    <t>O0233</t>
  </si>
  <si>
    <t>O0490</t>
  </si>
  <si>
    <t>O0163</t>
  </si>
  <si>
    <t>O0305</t>
  </si>
  <si>
    <t>O0360</t>
  </si>
  <si>
    <t>O0444</t>
  </si>
  <si>
    <t>O0105</t>
  </si>
  <si>
    <t>O0108</t>
  </si>
  <si>
    <t>O0391</t>
  </si>
  <si>
    <t>O0079</t>
  </si>
  <si>
    <t>O0097</t>
  </si>
  <si>
    <t>O0330</t>
  </si>
  <si>
    <t>O0483</t>
  </si>
  <si>
    <t>O0068</t>
  </si>
  <si>
    <t>O0152</t>
  </si>
  <si>
    <t>O0307</t>
  </si>
  <si>
    <t>O0358</t>
  </si>
  <si>
    <t>O0427</t>
  </si>
  <si>
    <t>O0442</t>
  </si>
  <si>
    <t>O0029</t>
  </si>
  <si>
    <t>O0112</t>
  </si>
  <si>
    <t>O0148</t>
  </si>
  <si>
    <t>O0476</t>
  </si>
  <si>
    <t>O0132</t>
  </si>
  <si>
    <t>O0274</t>
  </si>
  <si>
    <t>O0283</t>
  </si>
  <si>
    <t>O0323</t>
  </si>
  <si>
    <t>C098</t>
  </si>
  <si>
    <t>O0023</t>
  </si>
  <si>
    <t>O0198</t>
  </si>
  <si>
    <t>O0269</t>
  </si>
  <si>
    <t>O0284</t>
  </si>
  <si>
    <t>O0479</t>
  </si>
  <si>
    <t>O0488</t>
  </si>
  <si>
    <t>O0271</t>
  </si>
  <si>
    <t>O0292</t>
  </si>
  <si>
    <t>O0352</t>
  </si>
  <si>
    <t>O0469</t>
  </si>
  <si>
    <t>O0033</t>
  </si>
  <si>
    <t>O0379</t>
  </si>
  <si>
    <t>O0021</t>
  </si>
  <si>
    <t>O0380</t>
  </si>
  <si>
    <t>O0495</t>
  </si>
  <si>
    <t>O0382</t>
  </si>
  <si>
    <t>O0453</t>
  </si>
  <si>
    <t>O0185</t>
  </si>
  <si>
    <t>O0220</t>
  </si>
  <si>
    <t>O0259</t>
  </si>
  <si>
    <t>O0359</t>
  </si>
  <si>
    <t>O0462</t>
  </si>
  <si>
    <t>O0247</t>
  </si>
  <si>
    <t>O0069</t>
  </si>
  <si>
    <t>O0087</t>
  </si>
  <si>
    <t>O0299</t>
  </si>
  <si>
    <t>O0420</t>
  </si>
  <si>
    <t>O0182</t>
  </si>
  <si>
    <t>O0267</t>
  </si>
  <si>
    <t>O0348</t>
  </si>
  <si>
    <t>O0093</t>
  </si>
  <si>
    <t>O0213</t>
  </si>
  <si>
    <t>C016</t>
  </si>
  <si>
    <t>O0039</t>
  </si>
  <si>
    <t>O0298</t>
  </si>
  <si>
    <t>O0017</t>
  </si>
  <si>
    <t>O0043</t>
  </si>
  <si>
    <t>O0096</t>
  </si>
  <si>
    <t>O0167</t>
  </si>
  <si>
    <t>O0409</t>
  </si>
  <si>
    <t>O0449</t>
  </si>
  <si>
    <t>O0133</t>
  </si>
  <si>
    <t>O0210</t>
  </si>
  <si>
    <t>O0393</t>
  </si>
  <si>
    <t>O0098</t>
  </si>
  <si>
    <t>O0413</t>
  </si>
  <si>
    <t>O0435</t>
  </si>
  <si>
    <t>O0311</t>
  </si>
  <si>
    <t>O0383</t>
  </si>
  <si>
    <t>O0225</t>
  </si>
  <si>
    <t>O0276</t>
  </si>
  <si>
    <t>O0288</t>
  </si>
  <si>
    <t>O0297</t>
  </si>
  <si>
    <t>O0128</t>
  </si>
  <si>
    <t>O0197</t>
  </si>
  <si>
    <t>O0249</t>
  </si>
  <si>
    <t>O0369</t>
  </si>
  <si>
    <t>O0426</t>
  </si>
  <si>
    <t>O0478</t>
  </si>
  <si>
    <t>O0175</t>
  </si>
  <si>
    <t>O0202</t>
  </si>
  <si>
    <t>O0459</t>
  </si>
  <si>
    <t>O0041</t>
  </si>
  <si>
    <t>O0137</t>
  </si>
  <si>
    <t>O0178</t>
  </si>
  <si>
    <t>O0193</t>
  </si>
  <si>
    <t>O0324</t>
  </si>
  <si>
    <t>O0403</t>
  </si>
  <si>
    <t>O0022</t>
  </si>
  <si>
    <t>O0236</t>
  </si>
  <si>
    <t>O0338</t>
  </si>
  <si>
    <t>O0341</t>
  </si>
  <si>
    <t>O0211</t>
  </si>
  <si>
    <t>O0350</t>
  </si>
  <si>
    <t>O0174</t>
  </si>
  <si>
    <t>O0312</t>
  </si>
  <si>
    <t>O0127</t>
  </si>
  <si>
    <t>O0074</t>
  </si>
  <si>
    <t>O0203</t>
  </si>
  <si>
    <t>O0260</t>
  </si>
  <si>
    <t>O0172</t>
  </si>
  <si>
    <t>O0319</t>
  </si>
  <si>
    <t>O0374</t>
  </si>
  <si>
    <t>O0456</t>
  </si>
  <si>
    <t>O0375</t>
  </si>
  <si>
    <t>O0099</t>
  </si>
  <si>
    <t>O0160</t>
  </si>
  <si>
    <t>O0180</t>
  </si>
  <si>
    <t>O0343</t>
  </si>
  <si>
    <t>O0086</t>
  </si>
  <si>
    <t>O0113</t>
  </si>
  <si>
    <t>O0212</t>
  </si>
  <si>
    <t>O0355</t>
  </si>
  <si>
    <t>O0454</t>
  </si>
  <si>
    <t>O0122</t>
  </si>
  <si>
    <t>O0166</t>
  </si>
  <si>
    <t>O0486</t>
  </si>
  <si>
    <t>O0499</t>
  </si>
  <si>
    <t>O0091</t>
  </si>
  <si>
    <t>O0200</t>
  </si>
  <si>
    <t>O0264</t>
  </si>
  <si>
    <t>O0416</t>
  </si>
  <si>
    <t>O0155</t>
  </si>
  <si>
    <t>O0164</t>
  </si>
  <si>
    <t>O0120</t>
  </si>
  <si>
    <t>O0176</t>
  </si>
  <si>
    <t>O0016</t>
  </si>
  <si>
    <t>O0412</t>
  </si>
  <si>
    <t>O0065</t>
  </si>
  <si>
    <t>O0116</t>
  </si>
  <si>
    <t>O0463</t>
  </si>
  <si>
    <t>O0001</t>
  </si>
  <si>
    <t>O0158</t>
  </si>
  <si>
    <t>O0018</t>
  </si>
  <si>
    <t>O0205</t>
  </si>
  <si>
    <t>O0228</t>
  </si>
  <si>
    <t>O0130</t>
  </si>
  <si>
    <t>O0168</t>
  </si>
  <si>
    <t>O0322</t>
  </si>
  <si>
    <t>O0384</t>
  </si>
  <si>
    <t>O0339</t>
  </si>
  <si>
    <t>O0063</t>
  </si>
  <si>
    <t>O0275</t>
  </si>
  <si>
    <t>O0059</t>
  </si>
  <si>
    <t>O0060</t>
  </si>
  <si>
    <t>O0139</t>
  </si>
  <si>
    <t>O0170</t>
  </si>
  <si>
    <t>O0362</t>
  </si>
  <si>
    <t>O0398</t>
  </si>
  <si>
    <t>O0477</t>
  </si>
  <si>
    <t>O0186</t>
  </si>
  <si>
    <t>O0222</t>
  </si>
  <si>
    <t>O0282</t>
  </si>
  <si>
    <t>O0373</t>
  </si>
  <si>
    <t>O0150</t>
  </si>
  <si>
    <t>O0302</t>
  </si>
  <si>
    <t>O0310</t>
  </si>
  <si>
    <t>O0201</t>
  </si>
  <si>
    <t>O0235</t>
  </si>
  <si>
    <t>O0246</t>
  </si>
  <si>
    <t>O0481</t>
  </si>
  <si>
    <t>O0487</t>
  </si>
  <si>
    <t>O0498</t>
  </si>
  <si>
    <t>O0045</t>
  </si>
  <si>
    <t>O0143</t>
  </si>
  <si>
    <t>O0326</t>
  </si>
  <si>
    <t>O0024</t>
  </si>
  <si>
    <t>O0094</t>
  </si>
  <si>
    <t>O0270</t>
  </si>
  <si>
    <t>O0460</t>
  </si>
  <si>
    <t>O0230</t>
  </si>
  <si>
    <t>O0356</t>
  </si>
  <si>
    <t>O0067</t>
  </si>
  <si>
    <t>O0101</t>
  </si>
  <si>
    <t>C017</t>
  </si>
  <si>
    <t>O0489</t>
  </si>
  <si>
    <t>O0052</t>
  </si>
  <si>
    <t>O0142</t>
  </si>
  <si>
    <t>O0177</t>
  </si>
  <si>
    <t>O0242</t>
  </si>
  <si>
    <t>O0008</t>
  </si>
  <si>
    <t>O0124</t>
  </si>
  <si>
    <t>O0135</t>
  </si>
  <si>
    <t>O0239</t>
  </si>
  <si>
    <t>O0452</t>
  </si>
  <si>
    <t>O0457</t>
  </si>
  <si>
    <t>Net_Discount</t>
  </si>
  <si>
    <t>Net_Sales</t>
  </si>
  <si>
    <t>Row Labels</t>
  </si>
  <si>
    <t>Grand Total</t>
  </si>
  <si>
    <t>Count of Order_ID</t>
  </si>
  <si>
    <t>Total_Orders</t>
  </si>
  <si>
    <t>Sum of Quantity</t>
  </si>
  <si>
    <t>Quantity_Sold</t>
  </si>
  <si>
    <t>Gross_Sale</t>
  </si>
  <si>
    <t>Gross_sales</t>
  </si>
  <si>
    <t>Sum of Net_Sales</t>
  </si>
  <si>
    <t>Net_sale</t>
  </si>
  <si>
    <t>Net_Discounts</t>
  </si>
  <si>
    <t>Average_order_value</t>
  </si>
  <si>
    <t>Jan</t>
  </si>
  <si>
    <t>Feb</t>
  </si>
  <si>
    <t>Mar</t>
  </si>
  <si>
    <t>Apr</t>
  </si>
  <si>
    <t>May</t>
  </si>
  <si>
    <t>Jun</t>
  </si>
  <si>
    <t>Monthly_Performance</t>
  </si>
  <si>
    <t>Revenue</t>
  </si>
  <si>
    <t>Column Labels</t>
  </si>
  <si>
    <t>Sum of Revenue</t>
  </si>
  <si>
    <t>Count of Order_Status</t>
  </si>
  <si>
    <t>Delivery_success_rate</t>
  </si>
  <si>
    <t>delivery success rate</t>
  </si>
  <si>
    <t>Top5_Products</t>
  </si>
  <si>
    <t>Count of Customer_ID</t>
  </si>
  <si>
    <t>Total_Customer</t>
  </si>
  <si>
    <t>Top_cust_Spend</t>
  </si>
  <si>
    <t>Sum of Difference</t>
  </si>
  <si>
    <t>Repeat_cust%</t>
  </si>
  <si>
    <t>CUSTOMER ANALYSIS</t>
  </si>
  <si>
    <t>Revenue per Unit</t>
  </si>
  <si>
    <t>Net Sales</t>
  </si>
  <si>
    <t>Net Revenue</t>
  </si>
  <si>
    <t>CATEGORY &amp; PRODUCT</t>
  </si>
  <si>
    <t>MONTHLY PERFORMANCE</t>
  </si>
  <si>
    <t>REGION WISE PERFORMANCE</t>
  </si>
  <si>
    <t>ORDER STATUS</t>
  </si>
  <si>
    <t>Return Rate</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</si>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</sst>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409]* #,##0.00_ ;_-[$$-409]* \-#,##0.00\ ;_-[$$-409]* &quot;-&quot;??_ ;_-@_ "/>
    <numFmt numFmtId="165" formatCode="[$$-409]#,##0.00"/>
    <numFmt numFmtId="166" formatCode="[$$-409]#,##0.0"/>
    <numFmt numFmtId="167" formatCode="_-[$$-409]* #,##0.0_ ;_-[$$-409]* \-#,##0.0\ ;_-[$$-409]* &quot;-&quot;??_ ;_-@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rgb="FF283618"/>
      <name val="Adobe Fan Heiti Std B"/>
      <family val="2"/>
      <charset val="128"/>
    </font>
    <font>
      <sz val="11"/>
      <color rgb="FF283618"/>
      <name val="Adobe Fan Heiti Std B"/>
      <family val="2"/>
      <charset val="128"/>
    </font>
  </fonts>
  <fills count="7">
    <fill>
      <patternFill patternType="none"/>
    </fill>
    <fill>
      <patternFill patternType="gray125"/>
    </fill>
    <fill>
      <patternFill patternType="solid">
        <fgColor theme="4" tint="0.79998168889431442"/>
        <bgColor theme="4" tint="0.79998168889431442"/>
      </patternFill>
    </fill>
    <fill>
      <patternFill patternType="solid">
        <fgColor rgb="FFDDA15E"/>
        <bgColor indexed="64"/>
      </patternFill>
    </fill>
    <fill>
      <patternFill patternType="solid">
        <fgColor rgb="FFFEFAE0"/>
        <bgColor indexed="64"/>
      </patternFill>
    </fill>
    <fill>
      <patternFill patternType="solid">
        <fgColor rgb="FFDDA15E"/>
        <bgColor theme="4" tint="0.79998168889431442"/>
      </patternFill>
    </fill>
    <fill>
      <patternFill patternType="solid">
        <fgColor rgb="FF0A234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14" fontId="0" fillId="0" borderId="0" xfId="0" applyNumberFormat="1"/>
    <xf numFmtId="0" fontId="2" fillId="2" borderId="1" xfId="0" applyFont="1" applyFill="1" applyBorder="1"/>
    <xf numFmtId="164" fontId="0" fillId="0" borderId="0" xfId="0" applyNumberFormat="1"/>
    <xf numFmtId="165" fontId="0" fillId="0" borderId="0" xfId="0" applyNumberFormat="1"/>
    <xf numFmtId="164" fontId="2" fillId="2" borderId="1" xfId="0" applyNumberFormat="1" applyFont="1" applyFill="1" applyBorder="1"/>
    <xf numFmtId="9" fontId="0" fillId="0" borderId="0" xfId="1" applyFont="1"/>
    <xf numFmtId="0" fontId="0" fillId="3" borderId="0" xfId="0" applyFill="1"/>
    <xf numFmtId="0" fontId="0" fillId="4" borderId="0" xfId="0" applyFill="1"/>
    <xf numFmtId="0" fontId="2" fillId="5" borderId="1" xfId="0" applyFont="1" applyFill="1" applyBorder="1"/>
    <xf numFmtId="0" fontId="0" fillId="3" borderId="0" xfId="0" applyFill="1" applyAlignment="1">
      <alignment horizontal="left"/>
    </xf>
    <xf numFmtId="43" fontId="0" fillId="3" borderId="0" xfId="0" applyNumberFormat="1" applyFill="1"/>
    <xf numFmtId="9" fontId="0" fillId="3" borderId="0" xfId="1" applyFont="1" applyFill="1"/>
    <xf numFmtId="166" fontId="0" fillId="3" borderId="0" xfId="0" applyNumberFormat="1" applyFill="1"/>
    <xf numFmtId="165" fontId="0" fillId="3" borderId="0" xfId="0" applyNumberFormat="1" applyFill="1"/>
    <xf numFmtId="0" fontId="0" fillId="3" borderId="0" xfId="0" applyFill="1" applyAlignment="1">
      <alignment horizontal="left" indent="1"/>
    </xf>
    <xf numFmtId="10" fontId="0" fillId="3" borderId="0" xfId="0" applyNumberFormat="1" applyFill="1"/>
    <xf numFmtId="0" fontId="5" fillId="4" borderId="0" xfId="0" applyFont="1" applyFill="1"/>
    <xf numFmtId="0" fontId="4" fillId="4" borderId="0" xfId="0" applyFont="1" applyFill="1"/>
    <xf numFmtId="0" fontId="5" fillId="4" borderId="0" xfId="0" applyFont="1" applyFill="1" applyAlignment="1">
      <alignment horizontal="left"/>
    </xf>
    <xf numFmtId="0" fontId="0" fillId="6" borderId="0" xfId="0" applyFill="1"/>
    <xf numFmtId="167" fontId="0" fillId="0" borderId="0" xfId="0" applyNumberFormat="1"/>
    <xf numFmtId="0" fontId="2" fillId="3" borderId="1" xfId="0" applyFont="1" applyFill="1" applyBorder="1"/>
  </cellXfs>
  <cellStyles count="2">
    <cellStyle name="Normal" xfId="0" builtinId="0"/>
    <cellStyle name="Percent" xfId="1" builtinId="5"/>
  </cellStyles>
  <dxfs count="94">
    <dxf>
      <font>
        <color rgb="FF9C0006"/>
      </font>
      <fill>
        <patternFill>
          <bgColor rgb="FFFFC7C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numFmt numFmtId="165" formatCode="[$$-409]#,##0.00"/>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numFmt numFmtId="35" formatCode="_ * #,##0.00_ ;_ * \-#,##0.00_ ;_ * &quot;-&quot;??_ ;_ @_ "/>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numFmt numFmtId="166" formatCode="[$$-409]#,##0.0"/>
    </dxf>
    <dxf>
      <numFmt numFmtId="165" formatCode="[$$-409]#,##0.00"/>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numFmt numFmtId="14" formatCode="0.00%"/>
    </dxf>
    <dxf>
      <numFmt numFmtId="14" formatCode="0.00%"/>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numFmt numFmtId="165" formatCode="[$$-409]#,##0.00"/>
    </dxf>
    <dxf>
      <numFmt numFmtId="167" formatCode="_-[$$-409]* #,##0.0_ ;_-[$$-409]* \-#,##0.0\ ;_-[$$-409]* &quot;-&quot;??_ ;_-@_ "/>
    </dxf>
    <dxf>
      <numFmt numFmtId="167" formatCode="_-[$$-409]* #,##0.0_ ;_-[$$-409]* \-#,##0.0\ ;_-[$$-409]* &quot;-&quot;??_ ;_-@_ "/>
    </dxf>
    <dxf>
      <numFmt numFmtId="164" formatCode="_-[$$-409]* #,##0.00_ ;_-[$$-409]* \-#,##0.00\ ;_-[$$-409]* &quot;-&quot;??_ ;_-@_ "/>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numFmt numFmtId="165" formatCode="[$$-409]#,##0.00"/>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fill>
        <patternFill patternType="solid">
          <bgColor rgb="FFDDA15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EAEAEA"/>
      <color rgb="FFFFB400"/>
      <color rgb="FF0A2342"/>
      <color rgb="FF283618"/>
      <color rgb="FF606C38"/>
      <color rgb="FF2CA58D"/>
      <color rgb="FFFEFAE0"/>
      <color rgb="FFBC6C25"/>
      <color rgb="FFDDA1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[CommerceFlow – Sales &amp; Delivery Overview.xlsx]Pivot!PivotTable1</c:name>
    <c:fmtId val="22"/>
  </c:pivotSource>
  <c:chart>
    <c:title>
      <c:tx>
        <c:rich>
          <a:bodyPr rot="0" spcFirstLastPara="1" vertOverflow="ellipsis" vert="horz" wrap="square" anchor="ctr" anchorCtr="1"/>
          <a:lstStyle/>
          <a:p>
            <a:pPr>
              <a:defRPr sz="1400" b="1" i="0" u="none" strike="noStrike" kern="1200" spc="0" baseline="0">
                <a:solidFill>
                  <a:srgbClr val="EAEAEA"/>
                </a:solidFill>
                <a:latin typeface="+mn-lt"/>
                <a:ea typeface="+mn-ea"/>
                <a:cs typeface="+mn-cs"/>
              </a:defRPr>
            </a:pPr>
            <a:r>
              <a:rPr lang="en-IN"/>
              <a:t>MONTHLY SALES</a:t>
            </a:r>
          </a:p>
        </c:rich>
      </c:tx>
      <c:layout>
        <c:manualLayout>
          <c:xMode val="edge"/>
          <c:yMode val="edge"/>
          <c:x val="0.37225678040244969"/>
          <c:y val="3.22578590597564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AEAEA"/>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FEFAE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AEAE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BC6C25"/>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AEAE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8018805470123639"/>
          <c:w val="0.841946631671041"/>
          <c:h val="0.65338312258323628"/>
        </c:manualLayout>
      </c:layout>
      <c:lineChart>
        <c:grouping val="standard"/>
        <c:varyColors val="0"/>
        <c:ser>
          <c:idx val="0"/>
          <c:order val="0"/>
          <c:tx>
            <c:strRef>
              <c:f>Pivot!$B$14</c:f>
              <c:strCache>
                <c:ptCount val="1"/>
                <c:pt idx="0">
                  <c:v>Net Sales</c:v>
                </c:pt>
              </c:strCache>
            </c:strRef>
          </c:tx>
          <c:spPr>
            <a:ln w="28575" cap="rnd">
              <a:solidFill>
                <a:schemeClr val="accent1"/>
              </a:solidFill>
              <a:round/>
            </a:ln>
            <a:effectLst/>
          </c:spPr>
          <c:marker>
            <c:symbol val="circle"/>
            <c:size val="5"/>
            <c:spPr>
              <a:solidFill>
                <a:srgbClr val="FEFAE0"/>
              </a:solidFill>
              <a:ln w="9525">
                <a:solidFill>
                  <a:schemeClr val="accent1"/>
                </a:solidFill>
              </a:ln>
              <a:effectLst/>
            </c:spPr>
          </c:marker>
          <c:cat>
            <c:strRef>
              <c:f>Pivot!$A$15:$A$20</c:f>
              <c:strCache>
                <c:ptCount val="6"/>
                <c:pt idx="0">
                  <c:v>Jan</c:v>
                </c:pt>
                <c:pt idx="1">
                  <c:v>Feb</c:v>
                </c:pt>
                <c:pt idx="2">
                  <c:v>Mar</c:v>
                </c:pt>
                <c:pt idx="3">
                  <c:v>Apr</c:v>
                </c:pt>
                <c:pt idx="4">
                  <c:v>May</c:v>
                </c:pt>
                <c:pt idx="5">
                  <c:v>Jun</c:v>
                </c:pt>
              </c:strCache>
            </c:strRef>
          </c:cat>
          <c:val>
            <c:numRef>
              <c:f>Pivot!$B$15:$B$20</c:f>
              <c:numCache>
                <c:formatCode>General</c:formatCode>
                <c:ptCount val="6"/>
                <c:pt idx="0">
                  <c:v>172314.55</c:v>
                </c:pt>
                <c:pt idx="1">
                  <c:v>138259.90000000002</c:v>
                </c:pt>
                <c:pt idx="2">
                  <c:v>147560.49999999997</c:v>
                </c:pt>
                <c:pt idx="3">
                  <c:v>179141.15000000005</c:v>
                </c:pt>
                <c:pt idx="4">
                  <c:v>213077.9</c:v>
                </c:pt>
                <c:pt idx="5">
                  <c:v>220588.3000000001</c:v>
                </c:pt>
              </c:numCache>
            </c:numRef>
          </c:val>
          <c:smooth val="0"/>
          <c:extLst>
            <c:ext xmlns:c16="http://schemas.microsoft.com/office/drawing/2014/chart" uri="{C3380CC4-5D6E-409C-BE32-E72D297353CC}">
              <c16:uniqueId val="{00000000-CC4A-4DD6-8E9A-CE6434DAB4EF}"/>
            </c:ext>
          </c:extLst>
        </c:ser>
        <c:ser>
          <c:idx val="1"/>
          <c:order val="1"/>
          <c:tx>
            <c:strRef>
              <c:f>Pivot!$C$14</c:f>
              <c:strCache>
                <c:ptCount val="1"/>
                <c:pt idx="0">
                  <c:v>Net Revenue</c:v>
                </c:pt>
              </c:strCache>
            </c:strRef>
          </c:tx>
          <c:spPr>
            <a:ln w="28575" cap="rnd">
              <a:solidFill>
                <a:schemeClr val="accent2"/>
              </a:solidFill>
              <a:round/>
            </a:ln>
            <a:effectLst/>
          </c:spPr>
          <c:marker>
            <c:symbol val="circle"/>
            <c:size val="5"/>
            <c:spPr>
              <a:solidFill>
                <a:srgbClr val="BC6C25"/>
              </a:solidFill>
              <a:ln w="9525">
                <a:solidFill>
                  <a:schemeClr val="accent2"/>
                </a:solidFill>
              </a:ln>
              <a:effectLst/>
            </c:spPr>
          </c:marker>
          <c:cat>
            <c:strRef>
              <c:f>Pivot!$A$15:$A$20</c:f>
              <c:strCache>
                <c:ptCount val="6"/>
                <c:pt idx="0">
                  <c:v>Jan</c:v>
                </c:pt>
                <c:pt idx="1">
                  <c:v>Feb</c:v>
                </c:pt>
                <c:pt idx="2">
                  <c:v>Mar</c:v>
                </c:pt>
                <c:pt idx="3">
                  <c:v>Apr</c:v>
                </c:pt>
                <c:pt idx="4">
                  <c:v>May</c:v>
                </c:pt>
                <c:pt idx="5">
                  <c:v>Jun</c:v>
                </c:pt>
              </c:strCache>
            </c:strRef>
          </c:cat>
          <c:val>
            <c:numRef>
              <c:f>Pivot!$C$15:$C$20</c:f>
              <c:numCache>
                <c:formatCode>General</c:formatCode>
                <c:ptCount val="6"/>
                <c:pt idx="0">
                  <c:v>109800.75</c:v>
                </c:pt>
                <c:pt idx="1">
                  <c:v>112468.39999999998</c:v>
                </c:pt>
                <c:pt idx="2">
                  <c:v>101098.15</c:v>
                </c:pt>
                <c:pt idx="3">
                  <c:v>114740.24999999999</c:v>
                </c:pt>
                <c:pt idx="4">
                  <c:v>125136.89999999998</c:v>
                </c:pt>
                <c:pt idx="5">
                  <c:v>142545.45000000001</c:v>
                </c:pt>
              </c:numCache>
            </c:numRef>
          </c:val>
          <c:smooth val="0"/>
          <c:extLst>
            <c:ext xmlns:c16="http://schemas.microsoft.com/office/drawing/2014/chart" uri="{C3380CC4-5D6E-409C-BE32-E72D297353CC}">
              <c16:uniqueId val="{00000001-CC4A-4DD6-8E9A-CE6434DAB4EF}"/>
            </c:ext>
          </c:extLst>
        </c:ser>
        <c:dLbls>
          <c:showLegendKey val="0"/>
          <c:showVal val="0"/>
          <c:showCatName val="0"/>
          <c:showSerName val="0"/>
          <c:showPercent val="0"/>
          <c:showBubbleSize val="0"/>
        </c:dLbls>
        <c:marker val="1"/>
        <c:smooth val="0"/>
        <c:axId val="1647163424"/>
        <c:axId val="1951958768"/>
      </c:lineChart>
      <c:catAx>
        <c:axId val="164716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EAEAEA"/>
                </a:solidFill>
                <a:latin typeface="+mn-lt"/>
                <a:ea typeface="+mn-ea"/>
                <a:cs typeface="+mn-cs"/>
              </a:defRPr>
            </a:pPr>
            <a:endParaRPr lang="en-US"/>
          </a:p>
        </c:txPr>
        <c:crossAx val="1951958768"/>
        <c:crosses val="autoZero"/>
        <c:auto val="1"/>
        <c:lblAlgn val="ctr"/>
        <c:lblOffset val="100"/>
        <c:noMultiLvlLbl val="0"/>
      </c:catAx>
      <c:valAx>
        <c:axId val="1951958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AEAEA"/>
                </a:solidFill>
                <a:latin typeface="+mn-lt"/>
                <a:ea typeface="+mn-ea"/>
                <a:cs typeface="+mn-cs"/>
              </a:defRPr>
            </a:pPr>
            <a:endParaRPr lang="en-US"/>
          </a:p>
        </c:txPr>
        <c:crossAx val="1647163424"/>
        <c:crosses val="autoZero"/>
        <c:crossBetween val="between"/>
      </c:valAx>
      <c:spPr>
        <a:noFill/>
        <a:ln>
          <a:noFill/>
        </a:ln>
        <a:effectLst/>
      </c:spPr>
    </c:plotArea>
    <c:legend>
      <c:legendPos val="r"/>
      <c:layout>
        <c:manualLayout>
          <c:xMode val="edge"/>
          <c:yMode val="edge"/>
          <c:x val="0.74808311461067356"/>
          <c:y val="4.7526204358969683E-2"/>
          <c:w val="0.21719466316710409"/>
          <c:h val="0.1633075738750859"/>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EAEAE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rgbClr val="EAEAE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[CommerceFlow – Sales &amp; Delivery Overview.xlsx]Pivot!PivotTable18</c:name>
    <c:fmtId val="9"/>
  </c:pivotSource>
  <c:chart>
    <c:title>
      <c:tx>
        <c:rich>
          <a:bodyPr rot="0" spcFirstLastPara="1" vertOverflow="ellipsis" vert="horz" wrap="square" anchor="ctr" anchorCtr="1"/>
          <a:lstStyle/>
          <a:p>
            <a:pPr>
              <a:defRPr sz="1400" b="0" i="0" u="none" strike="noStrike" kern="1200" spc="0" baseline="0">
                <a:solidFill>
                  <a:srgbClr val="EAEAEA"/>
                </a:solidFill>
                <a:latin typeface="+mn-lt"/>
                <a:ea typeface="+mn-ea"/>
                <a:cs typeface="+mn-cs"/>
              </a:defRPr>
            </a:pPr>
            <a:r>
              <a:rPr lang="en-IN"/>
              <a:t>QUANTITY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AEAE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CA5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92392696484395E-2"/>
          <c:y val="6.3777163836050518E-2"/>
          <c:w val="0.97015214607031208"/>
          <c:h val="0.53627672747510691"/>
        </c:manualLayout>
      </c:layout>
      <c:barChart>
        <c:barDir val="col"/>
        <c:grouping val="clustered"/>
        <c:varyColors val="0"/>
        <c:ser>
          <c:idx val="0"/>
          <c:order val="0"/>
          <c:tx>
            <c:strRef>
              <c:f>Pivot!$J$6</c:f>
              <c:strCache>
                <c:ptCount val="1"/>
                <c:pt idx="0">
                  <c:v>Total</c:v>
                </c:pt>
              </c:strCache>
            </c:strRef>
          </c:tx>
          <c:spPr>
            <a:solidFill>
              <a:srgbClr val="2CA5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Pivot!$I$7:$I$31</c:f>
              <c:multiLvlStrCache>
                <c:ptCount val="20"/>
                <c:lvl>
                  <c:pt idx="0">
                    <c:v>Backpack</c:v>
                  </c:pt>
                  <c:pt idx="1">
                    <c:v>Cable Organizer</c:v>
                  </c:pt>
                  <c:pt idx="2">
                    <c:v>Laptop Stand</c:v>
                  </c:pt>
                  <c:pt idx="3">
                    <c:v>Phone Holder</c:v>
                  </c:pt>
                  <c:pt idx="4">
                    <c:v>Travel Pouch</c:v>
                  </c:pt>
                  <c:pt idx="5">
                    <c:v>Headphones</c:v>
                  </c:pt>
                  <c:pt idx="6">
                    <c:v>Keyboard</c:v>
                  </c:pt>
                  <c:pt idx="7">
                    <c:v>USB Hub</c:v>
                  </c:pt>
                  <c:pt idx="8">
                    <c:v>Webcam</c:v>
                  </c:pt>
                  <c:pt idx="9">
                    <c:v>Wireless Mouse</c:v>
                  </c:pt>
                  <c:pt idx="10">
                    <c:v>Desk Lamp</c:v>
                  </c:pt>
                  <c:pt idx="11">
                    <c:v>Office Chair</c:v>
                  </c:pt>
                  <c:pt idx="12">
                    <c:v>Storage Box</c:v>
                  </c:pt>
                  <c:pt idx="13">
                    <c:v>Table Fan</c:v>
                  </c:pt>
                  <c:pt idx="14">
                    <c:v>Water Bottle</c:v>
                  </c:pt>
                  <c:pt idx="15">
                    <c:v>File Folder</c:v>
                  </c:pt>
                  <c:pt idx="16">
                    <c:v>Marker Set</c:v>
                  </c:pt>
                  <c:pt idx="17">
                    <c:v>Notebook</c:v>
                  </c:pt>
                  <c:pt idx="18">
                    <c:v>Pen Set</c:v>
                  </c:pt>
                  <c:pt idx="19">
                    <c:v>Planner</c:v>
                  </c:pt>
                </c:lvl>
                <c:lvl>
                  <c:pt idx="0">
                    <c:v>Accessories</c:v>
                  </c:pt>
                  <c:pt idx="5">
                    <c:v>Electronics</c:v>
                  </c:pt>
                  <c:pt idx="10">
                    <c:v>Home</c:v>
                  </c:pt>
                  <c:pt idx="15">
                    <c:v>Stationery</c:v>
                  </c:pt>
                </c:lvl>
              </c:multiLvlStrCache>
            </c:multiLvlStrRef>
          </c:cat>
          <c:val>
            <c:numRef>
              <c:f>Pivot!$J$7:$J$31</c:f>
              <c:numCache>
                <c:formatCode>General</c:formatCode>
                <c:ptCount val="20"/>
                <c:pt idx="0">
                  <c:v>46</c:v>
                </c:pt>
                <c:pt idx="1">
                  <c:v>43</c:v>
                </c:pt>
                <c:pt idx="2">
                  <c:v>41</c:v>
                </c:pt>
                <c:pt idx="3">
                  <c:v>57</c:v>
                </c:pt>
                <c:pt idx="4">
                  <c:v>19</c:v>
                </c:pt>
                <c:pt idx="5">
                  <c:v>44</c:v>
                </c:pt>
                <c:pt idx="6">
                  <c:v>58</c:v>
                </c:pt>
                <c:pt idx="7">
                  <c:v>79</c:v>
                </c:pt>
                <c:pt idx="8">
                  <c:v>57</c:v>
                </c:pt>
                <c:pt idx="9">
                  <c:v>46</c:v>
                </c:pt>
                <c:pt idx="10">
                  <c:v>52</c:v>
                </c:pt>
                <c:pt idx="11">
                  <c:v>59</c:v>
                </c:pt>
                <c:pt idx="12">
                  <c:v>39</c:v>
                </c:pt>
                <c:pt idx="13">
                  <c:v>48</c:v>
                </c:pt>
                <c:pt idx="14">
                  <c:v>39</c:v>
                </c:pt>
                <c:pt idx="15">
                  <c:v>43</c:v>
                </c:pt>
                <c:pt idx="16">
                  <c:v>40</c:v>
                </c:pt>
                <c:pt idx="17">
                  <c:v>55</c:v>
                </c:pt>
                <c:pt idx="18">
                  <c:v>49</c:v>
                </c:pt>
                <c:pt idx="19">
                  <c:v>52</c:v>
                </c:pt>
              </c:numCache>
            </c:numRef>
          </c:val>
          <c:extLst>
            <c:ext xmlns:c16="http://schemas.microsoft.com/office/drawing/2014/chart" uri="{C3380CC4-5D6E-409C-BE32-E72D297353CC}">
              <c16:uniqueId val="{00000002-BE70-4D3C-8117-2FB35B43BC93}"/>
            </c:ext>
          </c:extLst>
        </c:ser>
        <c:dLbls>
          <c:dLblPos val="inEnd"/>
          <c:showLegendKey val="0"/>
          <c:showVal val="1"/>
          <c:showCatName val="0"/>
          <c:showSerName val="0"/>
          <c:showPercent val="0"/>
          <c:showBubbleSize val="0"/>
        </c:dLbls>
        <c:gapWidth val="75"/>
        <c:overlap val="40"/>
        <c:axId val="1647163424"/>
        <c:axId val="1951958768"/>
      </c:barChart>
      <c:catAx>
        <c:axId val="16471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AEAEA"/>
                </a:solidFill>
                <a:latin typeface="+mn-lt"/>
                <a:ea typeface="+mn-ea"/>
                <a:cs typeface="+mn-cs"/>
              </a:defRPr>
            </a:pPr>
            <a:endParaRPr lang="en-US"/>
          </a:p>
        </c:txPr>
        <c:crossAx val="1951958768"/>
        <c:crosses val="autoZero"/>
        <c:auto val="1"/>
        <c:lblAlgn val="ctr"/>
        <c:lblOffset val="100"/>
        <c:noMultiLvlLbl val="0"/>
      </c:catAx>
      <c:valAx>
        <c:axId val="1951958768"/>
        <c:scaling>
          <c:orientation val="minMax"/>
        </c:scaling>
        <c:delete val="1"/>
        <c:axPos val="l"/>
        <c:numFmt formatCode="General" sourceLinked="1"/>
        <c:majorTickMark val="none"/>
        <c:minorTickMark val="none"/>
        <c:tickLblPos val="nextTo"/>
        <c:crossAx val="164716342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rgbClr val="EAEAE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[CommerceFlow – Sales &amp; Delivery Overview.xlsx]Pivot!PivotTable2</c:name>
    <c:fmtId val="10"/>
  </c:pivotSource>
  <c:chart>
    <c:title>
      <c:tx>
        <c:rich>
          <a:bodyPr rot="0" vert="horz"/>
          <a:lstStyle/>
          <a:p>
            <a:pPr>
              <a:defRPr/>
            </a:pPr>
            <a:r>
              <a:rPr lang="en-IN"/>
              <a:t>REGION WISE SALES</a:t>
            </a:r>
          </a:p>
        </c:rich>
      </c:tx>
      <c:layout>
        <c:manualLayout>
          <c:xMode val="edge"/>
          <c:yMode val="edge"/>
          <c:x val="0.26392344706911636"/>
          <c:y val="4.6945710733526741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rgbClr val="BC6C25"/>
            </a:solidFill>
            <a:ln w="9525">
              <a:solidFill>
                <a:schemeClr val="accent1"/>
              </a:solidFill>
            </a:ln>
            <a:effectLst/>
          </c:spPr>
        </c:marker>
        <c:dLbl>
          <c:idx val="0"/>
          <c:delete val="1"/>
          <c:extLst>
            <c:ext xmlns:c15="http://schemas.microsoft.com/office/drawing/2012/chart" uri="{CE6537A1-D6FC-4f65-9D91-7224C49458BB}"/>
          </c:extLst>
        </c:dLbl>
      </c:pivotFmt>
      <c:pivotFmt>
        <c:idx val="10"/>
        <c:spPr>
          <a:solidFill>
            <a:srgbClr val="2CA58D"/>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rgbClr val="FFB400"/>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724759405074366"/>
          <c:y val="0.18018805470123639"/>
          <c:w val="0.841946631671041"/>
          <c:h val="0.65338312258323628"/>
        </c:manualLayout>
      </c:layout>
      <c:barChart>
        <c:barDir val="col"/>
        <c:grouping val="clustered"/>
        <c:varyColors val="0"/>
        <c:ser>
          <c:idx val="0"/>
          <c:order val="0"/>
          <c:tx>
            <c:strRef>
              <c:f>Pivot!$B$30</c:f>
              <c:strCache>
                <c:ptCount val="1"/>
                <c:pt idx="0">
                  <c:v>Sum of Net_Sales</c:v>
                </c:pt>
              </c:strCache>
            </c:strRef>
          </c:tx>
          <c:spPr>
            <a:solidFill>
              <a:srgbClr val="2CA58D"/>
            </a:solidFill>
            <a:ln w="28575" cap="rnd">
              <a:solidFill>
                <a:schemeClr val="accent1"/>
              </a:solidFill>
              <a:round/>
            </a:ln>
            <a:effectLst/>
          </c:spPr>
          <c:invertIfNegative val="0"/>
          <c:cat>
            <c:strRef>
              <c:f>Pivot!$A$31:$A$34</c:f>
              <c:strCache>
                <c:ptCount val="4"/>
                <c:pt idx="0">
                  <c:v>East</c:v>
                </c:pt>
                <c:pt idx="1">
                  <c:v>North</c:v>
                </c:pt>
                <c:pt idx="2">
                  <c:v>South</c:v>
                </c:pt>
                <c:pt idx="3">
                  <c:v>West</c:v>
                </c:pt>
              </c:strCache>
            </c:strRef>
          </c:cat>
          <c:val>
            <c:numRef>
              <c:f>Pivot!$B$31:$B$34</c:f>
              <c:numCache>
                <c:formatCode>General</c:formatCode>
                <c:ptCount val="4"/>
                <c:pt idx="0">
                  <c:v>364534.74999999988</c:v>
                </c:pt>
                <c:pt idx="1">
                  <c:v>249207.50000000012</c:v>
                </c:pt>
                <c:pt idx="2">
                  <c:v>254811.69999999998</c:v>
                </c:pt>
                <c:pt idx="3">
                  <c:v>202388.35</c:v>
                </c:pt>
              </c:numCache>
            </c:numRef>
          </c:val>
          <c:extLst>
            <c:ext xmlns:c16="http://schemas.microsoft.com/office/drawing/2014/chart" uri="{C3380CC4-5D6E-409C-BE32-E72D297353CC}">
              <c16:uniqueId val="{00000007-1D22-4271-B3F3-1FA44912B13F}"/>
            </c:ext>
          </c:extLst>
        </c:ser>
        <c:ser>
          <c:idx val="1"/>
          <c:order val="1"/>
          <c:tx>
            <c:strRef>
              <c:f>Pivot!$C$30</c:f>
              <c:strCache>
                <c:ptCount val="1"/>
                <c:pt idx="0">
                  <c:v>Sum of Revenue</c:v>
                </c:pt>
              </c:strCache>
            </c:strRef>
          </c:tx>
          <c:spPr>
            <a:solidFill>
              <a:srgbClr val="FFB400"/>
            </a:solidFill>
            <a:ln w="28575" cap="rnd">
              <a:solidFill>
                <a:schemeClr val="accent2"/>
              </a:solidFill>
              <a:round/>
            </a:ln>
            <a:effectLst/>
          </c:spPr>
          <c:invertIfNegative val="0"/>
          <c:cat>
            <c:strRef>
              <c:f>Pivot!$A$31:$A$34</c:f>
              <c:strCache>
                <c:ptCount val="4"/>
                <c:pt idx="0">
                  <c:v>East</c:v>
                </c:pt>
                <c:pt idx="1">
                  <c:v>North</c:v>
                </c:pt>
                <c:pt idx="2">
                  <c:v>South</c:v>
                </c:pt>
                <c:pt idx="3">
                  <c:v>West</c:v>
                </c:pt>
              </c:strCache>
            </c:strRef>
          </c:cat>
          <c:val>
            <c:numRef>
              <c:f>Pivot!$C$31:$C$34</c:f>
              <c:numCache>
                <c:formatCode>[$$-409]#,##0.00</c:formatCode>
                <c:ptCount val="4"/>
                <c:pt idx="0">
                  <c:v>258999.79999999996</c:v>
                </c:pt>
                <c:pt idx="1">
                  <c:v>151354.15000000002</c:v>
                </c:pt>
                <c:pt idx="2">
                  <c:v>147734.30000000005</c:v>
                </c:pt>
                <c:pt idx="3">
                  <c:v>147701.65000000002</c:v>
                </c:pt>
              </c:numCache>
            </c:numRef>
          </c:val>
          <c:extLst>
            <c:ext xmlns:c16="http://schemas.microsoft.com/office/drawing/2014/chart" uri="{C3380CC4-5D6E-409C-BE32-E72D297353CC}">
              <c16:uniqueId val="{00000009-1D22-4271-B3F3-1FA44912B13F}"/>
            </c:ext>
          </c:extLst>
        </c:ser>
        <c:dLbls>
          <c:showLegendKey val="0"/>
          <c:showVal val="0"/>
          <c:showCatName val="0"/>
          <c:showSerName val="0"/>
          <c:showPercent val="0"/>
          <c:showBubbleSize val="0"/>
        </c:dLbls>
        <c:gapWidth val="150"/>
        <c:axId val="1647163424"/>
        <c:axId val="1951958768"/>
      </c:barChart>
      <c:catAx>
        <c:axId val="164716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951958768"/>
        <c:crosses val="autoZero"/>
        <c:auto val="1"/>
        <c:lblAlgn val="ctr"/>
        <c:lblOffset val="100"/>
        <c:noMultiLvlLbl val="0"/>
      </c:catAx>
      <c:valAx>
        <c:axId val="1951958768"/>
        <c:scaling>
          <c:orientation val="minMax"/>
        </c:scaling>
        <c:delete val="0"/>
        <c:axPos val="l"/>
        <c:numFmt formatCode="General" sourceLinked="1"/>
        <c:majorTickMark val="out"/>
        <c:minorTickMark val="none"/>
        <c:tickLblPos val="nextTo"/>
        <c:spPr>
          <a:noFill/>
          <a:ln>
            <a:noFill/>
          </a:ln>
          <a:effectLst/>
        </c:spPr>
        <c:txPr>
          <a:bodyPr rot="-60000000" vert="horz"/>
          <a:lstStyle/>
          <a:p>
            <a:pPr>
              <a:defRPr/>
            </a:pPr>
            <a:endParaRPr lang="en-US"/>
          </a:p>
        </c:txPr>
        <c:crossAx val="1647163424"/>
        <c:crosses val="autoZero"/>
        <c:crossBetween val="between"/>
      </c:valAx>
      <c:spPr>
        <a:noFill/>
      </c:spPr>
    </c:plotArea>
    <c:legend>
      <c:legendPos val="r"/>
      <c:layout>
        <c:manualLayout>
          <c:xMode val="edge"/>
          <c:yMode val="edge"/>
          <c:x val="0.74808311461067356"/>
          <c:y val="4.7526204358969683E-2"/>
          <c:w val="0.24854155730533684"/>
          <c:h val="0.17706647134224501"/>
        </c:manualLayout>
      </c:layout>
      <c:overlay val="0"/>
      <c:spPr>
        <a:noFill/>
        <a:ln>
          <a:noFill/>
        </a:ln>
        <a:effectLst/>
      </c:spPr>
      <c:txPr>
        <a:bodyPr rot="0" vert="horz"/>
        <a:lstStyle/>
        <a:p>
          <a:pPr>
            <a:defRPr/>
          </a:pPr>
          <a:endParaRPr lang="en-US"/>
        </a:p>
      </c:txPr>
    </c:legend>
    <c:plotVisOnly val="1"/>
    <c:dispBlanksAs val="gap"/>
    <c:showDLblsOverMax val="0"/>
    <c:extLst/>
  </c:chart>
  <c:spPr>
    <a:noFill/>
    <a:ln w="9525" cap="flat" cmpd="sng" algn="ctr">
      <a:noFill/>
      <a:round/>
    </a:ln>
    <a:effectLst/>
  </c:spPr>
  <c:txPr>
    <a:bodyPr/>
    <a:lstStyle/>
    <a:p>
      <a:pPr>
        <a:defRPr b="1">
          <a:solidFill>
            <a:srgbClr val="EAEAE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[CommerceFlow – Sales &amp; Delivery Overview.xlsx]Pivot!PivotTable17</c:name>
    <c:fmtId val="3"/>
  </c:pivotSource>
  <c:chart>
    <c:title>
      <c:tx>
        <c:rich>
          <a:bodyPr rot="0" vert="horz"/>
          <a:lstStyle/>
          <a:p>
            <a:pPr>
              <a:defRPr/>
            </a:pPr>
            <a:r>
              <a:rPr lang="en-IN"/>
              <a:t>TOP PRODUCT BY REVENUE</a:t>
            </a:r>
          </a:p>
        </c:rich>
      </c:tx>
      <c:layout>
        <c:manualLayout>
          <c:xMode val="edge"/>
          <c:yMode val="edge"/>
          <c:x val="0.37225678040244969"/>
          <c:y val="3.2257859059756464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rgbClr val="BC6C25"/>
            </a:solidFill>
            <a:ln w="9525">
              <a:solidFill>
                <a:schemeClr val="accent1"/>
              </a:solidFill>
            </a:ln>
            <a:effectLst/>
          </c:spPr>
        </c:marker>
        <c:dLbl>
          <c:idx val="0"/>
          <c:delete val="1"/>
          <c:extLst>
            <c:ext xmlns:c15="http://schemas.microsoft.com/office/drawing/2012/chart" uri="{CE6537A1-D6FC-4f65-9D91-7224C49458BB}"/>
          </c:extLst>
        </c:dLbl>
      </c:pivotFmt>
      <c:pivotFmt>
        <c:idx val="10"/>
        <c:spPr>
          <a:solidFill>
            <a:srgbClr val="FEFAE0"/>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11"/>
        <c:spPr>
          <a:solidFill>
            <a:srgbClr val="BC6C25"/>
          </a:solidFill>
          <a:ln w="28575" cap="rnd">
            <a:solidFill>
              <a:schemeClr val="accent2"/>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12"/>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rgbClr val="BC6C25"/>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4"/>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rgbClr val="BC6C25"/>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6"/>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rgbClr val="0A2342"/>
          </a:solidFill>
          <a:ln w="28575" cap="rnd">
            <a:solidFill>
              <a:schemeClr val="accent1"/>
            </a:solidFill>
            <a:round/>
          </a:ln>
          <a:effectLst/>
        </c:spPr>
      </c:pivotFmt>
      <c:pivotFmt>
        <c:idx val="18"/>
        <c:spPr>
          <a:solidFill>
            <a:srgbClr val="BC6C25"/>
          </a:solidFill>
          <a:ln w="28575" cap="rnd">
            <a:solidFill>
              <a:schemeClr val="accent1"/>
            </a:solidFill>
            <a:round/>
          </a:ln>
          <a:effectLst/>
        </c:spPr>
      </c:pivotFmt>
      <c:pivotFmt>
        <c:idx val="19"/>
        <c:spPr>
          <a:solidFill>
            <a:srgbClr val="606C38"/>
          </a:solidFill>
          <a:ln w="28575" cap="rnd">
            <a:solidFill>
              <a:schemeClr val="accent1"/>
            </a:solidFill>
            <a:round/>
          </a:ln>
          <a:effectLst/>
        </c:spPr>
      </c:pivotFmt>
      <c:pivotFmt>
        <c:idx val="20"/>
      </c:pivotFmt>
      <c:pivotFmt>
        <c:idx val="21"/>
        <c:spPr>
          <a:solidFill>
            <a:srgbClr val="FFC000"/>
          </a:solidFill>
          <a:ln w="28575" cap="rnd">
            <a:solidFill>
              <a:schemeClr val="accent1"/>
            </a:solidFill>
            <a:round/>
          </a:ln>
          <a:effectLst/>
        </c:spPr>
      </c:pivotFmt>
    </c:pivotFmts>
    <c:plotArea>
      <c:layout>
        <c:manualLayout>
          <c:layoutTarget val="inner"/>
          <c:xMode val="edge"/>
          <c:yMode val="edge"/>
          <c:x val="0.12169417473122605"/>
          <c:y val="0.12633236634894324"/>
          <c:w val="0.39385579870000914"/>
          <c:h val="0.70720496535240318"/>
        </c:manualLayout>
      </c:layout>
      <c:pieChart>
        <c:varyColors val="1"/>
        <c:ser>
          <c:idx val="0"/>
          <c:order val="0"/>
          <c:tx>
            <c:strRef>
              <c:f>Pivot!$H$6</c:f>
              <c:strCache>
                <c:ptCount val="1"/>
                <c:pt idx="0">
                  <c:v>Total</c:v>
                </c:pt>
              </c:strCache>
            </c:strRef>
          </c:tx>
          <c:spPr>
            <a:solidFill>
              <a:srgbClr val="FEFAE0"/>
            </a:solidFill>
            <a:ln w="28575" cap="rnd">
              <a:solidFill>
                <a:schemeClr val="accent1"/>
              </a:solidFill>
              <a:round/>
            </a:ln>
            <a:effectLst/>
          </c:spPr>
          <c:dPt>
            <c:idx val="1"/>
            <c:bubble3D val="0"/>
            <c:spPr>
              <a:solidFill>
                <a:srgbClr val="FFC000"/>
              </a:solidFill>
              <a:ln w="28575" cap="rnd">
                <a:solidFill>
                  <a:schemeClr val="accent1"/>
                </a:solidFill>
                <a:round/>
              </a:ln>
              <a:effectLst/>
            </c:spPr>
            <c:extLst>
              <c:ext xmlns:c16="http://schemas.microsoft.com/office/drawing/2014/chart" uri="{C3380CC4-5D6E-409C-BE32-E72D297353CC}">
                <c16:uniqueId val="{00000013-074E-4AFD-868C-E24A403D67C7}"/>
              </c:ext>
            </c:extLst>
          </c:dPt>
          <c:dPt>
            <c:idx val="2"/>
            <c:bubble3D val="0"/>
            <c:spPr>
              <a:solidFill>
                <a:srgbClr val="0A2342"/>
              </a:solidFill>
              <a:ln w="28575" cap="rnd">
                <a:solidFill>
                  <a:schemeClr val="accent1"/>
                </a:solidFill>
                <a:round/>
              </a:ln>
              <a:effectLst/>
            </c:spPr>
            <c:extLst>
              <c:ext xmlns:c16="http://schemas.microsoft.com/office/drawing/2014/chart" uri="{C3380CC4-5D6E-409C-BE32-E72D297353CC}">
                <c16:uniqueId val="{0000000F-074E-4AFD-868C-E24A403D67C7}"/>
              </c:ext>
            </c:extLst>
          </c:dPt>
          <c:dPt>
            <c:idx val="3"/>
            <c:bubble3D val="0"/>
            <c:spPr>
              <a:solidFill>
                <a:srgbClr val="BC6C25"/>
              </a:solidFill>
              <a:ln w="28575" cap="rnd">
                <a:solidFill>
                  <a:schemeClr val="accent1"/>
                </a:solidFill>
                <a:round/>
              </a:ln>
              <a:effectLst/>
            </c:spPr>
            <c:extLst>
              <c:ext xmlns:c16="http://schemas.microsoft.com/office/drawing/2014/chart" uri="{C3380CC4-5D6E-409C-BE32-E72D297353CC}">
                <c16:uniqueId val="{00000010-074E-4AFD-868C-E24A403D67C7}"/>
              </c:ext>
            </c:extLst>
          </c:dPt>
          <c:dPt>
            <c:idx val="4"/>
            <c:bubble3D val="0"/>
            <c:spPr>
              <a:solidFill>
                <a:srgbClr val="606C38"/>
              </a:solidFill>
              <a:ln w="28575" cap="rnd">
                <a:solidFill>
                  <a:schemeClr val="accent1"/>
                </a:solidFill>
                <a:round/>
              </a:ln>
              <a:effectLst/>
            </c:spPr>
            <c:extLst>
              <c:ext xmlns:c16="http://schemas.microsoft.com/office/drawing/2014/chart" uri="{C3380CC4-5D6E-409C-BE32-E72D297353CC}">
                <c16:uniqueId val="{00000011-074E-4AFD-868C-E24A403D67C7}"/>
              </c:ext>
            </c:extLst>
          </c:dPt>
          <c:cat>
            <c:strRef>
              <c:f>Pivot!$G$7:$G$12</c:f>
              <c:strCache>
                <c:ptCount val="5"/>
                <c:pt idx="0">
                  <c:v>Backpack</c:v>
                </c:pt>
                <c:pt idx="1">
                  <c:v>Keyboard</c:v>
                </c:pt>
                <c:pt idx="2">
                  <c:v>Office Chair</c:v>
                </c:pt>
                <c:pt idx="3">
                  <c:v>Table Fan</c:v>
                </c:pt>
                <c:pt idx="4">
                  <c:v>Webcam</c:v>
                </c:pt>
              </c:strCache>
            </c:strRef>
          </c:cat>
          <c:val>
            <c:numRef>
              <c:f>Pivot!$H$7:$H$12</c:f>
              <c:numCache>
                <c:formatCode>General</c:formatCode>
                <c:ptCount val="5"/>
                <c:pt idx="0">
                  <c:v>53664.19999999999</c:v>
                </c:pt>
                <c:pt idx="1">
                  <c:v>42867</c:v>
                </c:pt>
                <c:pt idx="2">
                  <c:v>250536.44999999995</c:v>
                </c:pt>
                <c:pt idx="3">
                  <c:v>44931.899999999994</c:v>
                </c:pt>
                <c:pt idx="4">
                  <c:v>59314.2</c:v>
                </c:pt>
              </c:numCache>
            </c:numRef>
          </c:val>
          <c:extLst>
            <c:ext xmlns:c16="http://schemas.microsoft.com/office/drawing/2014/chart" uri="{C3380CC4-5D6E-409C-BE32-E72D297353CC}">
              <c16:uniqueId val="{0000000C-074E-4AFD-868C-E24A403D67C7}"/>
            </c:ext>
          </c:extLst>
        </c:ser>
        <c:dLbls>
          <c:showLegendKey val="0"/>
          <c:showVal val="0"/>
          <c:showCatName val="0"/>
          <c:showSerName val="0"/>
          <c:showPercent val="0"/>
          <c:showBubbleSize val="0"/>
          <c:showLeaderLines val="1"/>
        </c:dLbls>
        <c:firstSliceAng val="0"/>
      </c:pieChart>
      <c:spPr>
        <a:noFill/>
      </c:spPr>
    </c:plotArea>
    <c:legend>
      <c:legendPos val="r"/>
      <c:layout>
        <c:manualLayout>
          <c:xMode val="edge"/>
          <c:yMode val="edge"/>
          <c:x val="0.60294499997316298"/>
          <c:y val="0.23209398702763137"/>
          <c:w val="0.17892275735471713"/>
          <c:h val="0.44266617835561251"/>
        </c:manualLayout>
      </c:layout>
      <c:overlay val="0"/>
      <c:spPr>
        <a:noFill/>
        <a:ln>
          <a:noFill/>
        </a:ln>
        <a:effectLst/>
      </c:spPr>
      <c:txPr>
        <a:bodyPr rot="0" vert="horz"/>
        <a:lstStyle/>
        <a:p>
          <a:pPr>
            <a:defRPr/>
          </a:pPr>
          <a:endParaRPr lang="en-US"/>
        </a:p>
      </c:txPr>
    </c:legend>
    <c:plotVisOnly val="1"/>
    <c:dispBlanksAs val="gap"/>
    <c:showDLblsOverMax val="0"/>
    <c:extLst/>
  </c:chart>
  <c:spPr>
    <a:noFill/>
    <a:ln w="9525" cap="flat" cmpd="sng" algn="ctr">
      <a:noFill/>
      <a:round/>
    </a:ln>
    <a:effectLst/>
  </c:spPr>
  <c:txPr>
    <a:bodyPr/>
    <a:lstStyle/>
    <a:p>
      <a:pPr>
        <a:defRPr b="1">
          <a:solidFill>
            <a:srgbClr val="EAEAE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[CommerceFlow – Sales &amp; Delivery Overview.xlsx]Pivot!PivotTable20</c:name>
    <c:fmtId val="6"/>
  </c:pivotSource>
  <c:chart>
    <c:title>
      <c:tx>
        <c:rich>
          <a:bodyPr rot="0" vert="horz"/>
          <a:lstStyle/>
          <a:p>
            <a:pPr>
              <a:defRPr/>
            </a:pPr>
            <a:r>
              <a:rPr lang="en-IN"/>
              <a:t>DELIVERY SUCCESS RATE</a:t>
            </a:r>
          </a:p>
        </c:rich>
      </c:tx>
      <c:layout>
        <c:manualLayout>
          <c:xMode val="edge"/>
          <c:yMode val="edge"/>
          <c:x val="0.19775104799016693"/>
          <c:y val="2.0112212694061014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rgbClr val="BC6C25"/>
            </a:solidFill>
            <a:ln w="9525">
              <a:solidFill>
                <a:schemeClr val="accent1"/>
              </a:solidFill>
            </a:ln>
            <a:effectLst/>
          </c:spPr>
        </c:marker>
        <c:dLbl>
          <c:idx val="0"/>
          <c:delete val="1"/>
          <c:extLst>
            <c:ext xmlns:c15="http://schemas.microsoft.com/office/drawing/2012/chart" uri="{CE6537A1-D6FC-4f65-9D91-7224C49458BB}"/>
          </c:extLst>
        </c:dLbl>
      </c:pivotFmt>
      <c:pivotFmt>
        <c:idx val="10"/>
        <c:spPr>
          <a:solidFill>
            <a:srgbClr val="FEFAE0"/>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11"/>
        <c:spPr>
          <a:solidFill>
            <a:srgbClr val="BC6C25"/>
          </a:solidFill>
          <a:ln w="28575" cap="rnd">
            <a:solidFill>
              <a:schemeClr val="accent2"/>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12"/>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rgbClr val="BC6C25"/>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4"/>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rgbClr val="BC6C25"/>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6"/>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rgbClr val="283618"/>
          </a:solidFill>
          <a:ln w="28575" cap="rnd">
            <a:solidFill>
              <a:schemeClr val="accent1"/>
            </a:solidFill>
            <a:round/>
          </a:ln>
          <a:effectLst/>
        </c:spPr>
      </c:pivotFmt>
      <c:pivotFmt>
        <c:idx val="18"/>
        <c:spPr>
          <a:solidFill>
            <a:srgbClr val="BC6C25"/>
          </a:solidFill>
          <a:ln w="28575" cap="rnd">
            <a:solidFill>
              <a:schemeClr val="accent1"/>
            </a:solidFill>
            <a:round/>
          </a:ln>
          <a:effectLst/>
        </c:spPr>
      </c:pivotFmt>
      <c:pivotFmt>
        <c:idx val="19"/>
        <c:spPr>
          <a:solidFill>
            <a:srgbClr val="606C38"/>
          </a:solidFill>
          <a:ln w="28575" cap="rnd">
            <a:solidFill>
              <a:schemeClr val="accent1"/>
            </a:solidFill>
            <a:round/>
          </a:ln>
          <a:effectLst/>
        </c:spPr>
      </c:pivotFmt>
      <c:pivotFmt>
        <c:idx val="20"/>
      </c:pivotFmt>
      <c:pivotFmt>
        <c:idx val="21"/>
        <c:spPr>
          <a:solidFill>
            <a:srgbClr val="FFC000"/>
          </a:solidFill>
          <a:ln w="28575" cap="rnd">
            <a:solidFill>
              <a:schemeClr val="accent1"/>
            </a:solidFill>
            <a:round/>
          </a:ln>
          <a:effectLst/>
        </c:spPr>
      </c:pivotFmt>
      <c:pivotFmt>
        <c:idx val="22"/>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3"/>
        <c:spPr>
          <a:solidFill>
            <a:srgbClr val="FFC000"/>
          </a:solidFill>
          <a:ln w="28575" cap="rnd">
            <a:solidFill>
              <a:schemeClr val="accent1"/>
            </a:solidFill>
            <a:round/>
          </a:ln>
          <a:effectLst/>
        </c:spPr>
      </c:pivotFmt>
      <c:pivotFmt>
        <c:idx val="24"/>
        <c:spPr>
          <a:solidFill>
            <a:srgbClr val="283618"/>
          </a:solidFill>
          <a:ln w="28575" cap="rnd">
            <a:solidFill>
              <a:schemeClr val="accent1"/>
            </a:solidFill>
            <a:round/>
          </a:ln>
          <a:effectLst/>
        </c:spPr>
      </c:pivotFmt>
      <c:pivotFmt>
        <c:idx val="25"/>
        <c:spPr>
          <a:solidFill>
            <a:srgbClr val="BC6C25"/>
          </a:solidFill>
          <a:ln w="28575" cap="rnd">
            <a:solidFill>
              <a:schemeClr val="accent1"/>
            </a:solidFill>
            <a:round/>
          </a:ln>
          <a:effectLst/>
        </c:spPr>
      </c:pivotFmt>
      <c:pivotFmt>
        <c:idx val="26"/>
        <c:spPr>
          <a:solidFill>
            <a:srgbClr val="606C38"/>
          </a:solidFill>
          <a:ln w="28575" cap="rnd">
            <a:solidFill>
              <a:schemeClr val="accent1"/>
            </a:solidFill>
            <a:round/>
          </a:ln>
          <a:effectLst/>
        </c:spPr>
      </c:pivotFmt>
      <c:pivotFmt>
        <c:idx val="27"/>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8"/>
        <c:spPr>
          <a:solidFill>
            <a:srgbClr val="FFC000"/>
          </a:solidFill>
          <a:ln w="28575" cap="rnd">
            <a:solidFill>
              <a:schemeClr val="accent1"/>
            </a:solidFill>
            <a:round/>
          </a:ln>
          <a:effectLst/>
        </c:spPr>
      </c:pivotFmt>
      <c:pivotFmt>
        <c:idx val="29"/>
        <c:spPr>
          <a:solidFill>
            <a:srgbClr val="283618"/>
          </a:solidFill>
          <a:ln w="28575" cap="rnd">
            <a:solidFill>
              <a:schemeClr val="accent1"/>
            </a:solidFill>
            <a:round/>
          </a:ln>
          <a:effectLst/>
        </c:spPr>
      </c:pivotFmt>
      <c:pivotFmt>
        <c:idx val="30"/>
        <c:spPr>
          <a:solidFill>
            <a:srgbClr val="BC6C25"/>
          </a:solidFill>
          <a:ln w="28575" cap="rnd">
            <a:solidFill>
              <a:schemeClr val="accent1"/>
            </a:solidFill>
            <a:round/>
          </a:ln>
          <a:effectLst/>
        </c:spPr>
      </c:pivotFmt>
      <c:pivotFmt>
        <c:idx val="31"/>
        <c:spPr>
          <a:solidFill>
            <a:srgbClr val="606C38"/>
          </a:solidFill>
          <a:ln w="28575" cap="rnd">
            <a:solidFill>
              <a:schemeClr val="accent1"/>
            </a:solidFill>
            <a:round/>
          </a:ln>
          <a:effectLst/>
        </c:spPr>
      </c:pivotFmt>
      <c:pivotFmt>
        <c:idx val="32"/>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3"/>
        <c:spPr>
          <a:solidFill>
            <a:srgbClr val="0A2342"/>
          </a:solidFill>
          <a:ln w="28575" cap="rnd">
            <a:solidFill>
              <a:schemeClr val="accent1"/>
            </a:solidFill>
            <a:round/>
          </a:ln>
          <a:effectLst/>
        </c:spPr>
      </c:pivotFmt>
      <c:pivotFmt>
        <c:idx val="34"/>
        <c:spPr>
          <a:solidFill>
            <a:srgbClr val="606C38"/>
          </a:solidFill>
          <a:ln w="28575" cap="rnd">
            <a:solidFill>
              <a:schemeClr val="accent1"/>
            </a:solidFill>
            <a:round/>
          </a:ln>
          <a:effectLst/>
        </c:spPr>
      </c:pivotFmt>
      <c:pivotFmt>
        <c:idx val="35"/>
        <c:spPr>
          <a:solidFill>
            <a:srgbClr val="283618"/>
          </a:solidFill>
          <a:ln w="28575" cap="rnd">
            <a:solidFill>
              <a:schemeClr val="accent1"/>
            </a:solidFill>
            <a:round/>
          </a:ln>
          <a:effectLst/>
        </c:spPr>
      </c:pivotFmt>
      <c:pivotFmt>
        <c:idx val="36"/>
        <c:marker>
          <c:symbol val="none"/>
        </c:marker>
        <c:dLbl>
          <c:idx val="0"/>
          <c:delete val="1"/>
          <c:extLst>
            <c:ext xmlns:c15="http://schemas.microsoft.com/office/drawing/2012/chart" uri="{CE6537A1-D6FC-4f65-9D91-7224C49458BB}"/>
          </c:extLst>
        </c:dLbl>
      </c:pivotFmt>
      <c:pivotFmt>
        <c:idx val="37"/>
      </c:pivotFmt>
      <c:pivotFmt>
        <c:idx val="38"/>
      </c:pivotFmt>
      <c:pivotFmt>
        <c:idx val="39"/>
      </c:pivotFmt>
      <c:pivotFmt>
        <c:idx val="40"/>
      </c:pivotFmt>
      <c:pivotFmt>
        <c:idx val="41"/>
        <c:marker>
          <c:symbol val="none"/>
        </c:marker>
        <c:dLbl>
          <c:idx val="0"/>
          <c:delete val="1"/>
          <c:extLst>
            <c:ext xmlns:c15="http://schemas.microsoft.com/office/drawing/2012/chart" uri="{CE6537A1-D6FC-4f65-9D91-7224C49458BB}"/>
          </c:extLst>
        </c:dLbl>
      </c:pivotFmt>
      <c:pivotFmt>
        <c:idx val="42"/>
      </c:pivotFmt>
      <c:pivotFmt>
        <c:idx val="43"/>
      </c:pivotFmt>
      <c:pivotFmt>
        <c:idx val="44"/>
      </c:pivotFmt>
      <c:pivotFmt>
        <c:idx val="45"/>
      </c:pivotFmt>
      <c:pivotFmt>
        <c:idx val="46"/>
        <c:spPr>
          <a:solidFill>
            <a:srgbClr val="FFB400"/>
          </a:solidFill>
          <a:ln w="28575" cap="rnd">
            <a:solidFill>
              <a:schemeClr val="accent1"/>
            </a:solidFill>
            <a:round/>
          </a:ln>
          <a:effectLst/>
        </c:spPr>
      </c:pivotFmt>
    </c:pivotFmts>
    <c:plotArea>
      <c:layout>
        <c:manualLayout>
          <c:layoutTarget val="inner"/>
          <c:xMode val="edge"/>
          <c:yMode val="edge"/>
          <c:x val="0.1107328148398628"/>
          <c:y val="0.1154107558417546"/>
          <c:w val="0.55758294016928867"/>
          <c:h val="0.82790908221492554"/>
        </c:manualLayout>
      </c:layout>
      <c:pieChart>
        <c:varyColors val="1"/>
        <c:ser>
          <c:idx val="0"/>
          <c:order val="0"/>
          <c:tx>
            <c:strRef>
              <c:f>Pivot!$L$14:$L$15</c:f>
              <c:strCache>
                <c:ptCount val="1"/>
                <c:pt idx="0">
                  <c:v>Cancelled</c:v>
                </c:pt>
              </c:strCache>
            </c:strRef>
          </c:tx>
          <c:spPr>
            <a:solidFill>
              <a:srgbClr val="FEFAE0"/>
            </a:solidFill>
            <a:ln w="28575" cap="rnd">
              <a:solidFill>
                <a:schemeClr val="accent1"/>
              </a:solidFill>
              <a:round/>
            </a:ln>
            <a:effectLst/>
          </c:spPr>
          <c:dPt>
            <c:idx val="0"/>
            <c:bubble3D val="0"/>
            <c:spPr>
              <a:solidFill>
                <a:srgbClr val="FFB400"/>
              </a:solidFill>
              <a:ln w="28575" cap="rnd">
                <a:solidFill>
                  <a:schemeClr val="accent1"/>
                </a:solidFill>
                <a:round/>
              </a:ln>
              <a:effectLst/>
            </c:spPr>
            <c:extLst>
              <c:ext xmlns:c16="http://schemas.microsoft.com/office/drawing/2014/chart" uri="{C3380CC4-5D6E-409C-BE32-E72D297353CC}">
                <c16:uniqueId val="{0000002F-5A4B-4373-A356-BBB4B5768547}"/>
              </c:ext>
            </c:extLst>
          </c:dPt>
          <c:dPt>
            <c:idx val="1"/>
            <c:bubble3D val="0"/>
            <c:spPr>
              <a:solidFill>
                <a:srgbClr val="0A2342"/>
              </a:solidFill>
              <a:ln w="28575" cap="rnd">
                <a:solidFill>
                  <a:schemeClr val="accent1"/>
                </a:solidFill>
                <a:round/>
              </a:ln>
              <a:effectLst/>
            </c:spPr>
            <c:extLst>
              <c:ext xmlns:c16="http://schemas.microsoft.com/office/drawing/2014/chart" uri="{C3380CC4-5D6E-409C-BE32-E72D297353CC}">
                <c16:uniqueId val="{0000001D-5A4B-4373-A356-BBB4B5768547}"/>
              </c:ext>
            </c:extLst>
          </c:dPt>
          <c:dPt>
            <c:idx val="2"/>
            <c:bubble3D val="0"/>
            <c:spPr>
              <a:solidFill>
                <a:srgbClr val="606C38"/>
              </a:solidFill>
              <a:ln w="28575" cap="rnd">
                <a:solidFill>
                  <a:schemeClr val="accent1"/>
                </a:solidFill>
                <a:round/>
              </a:ln>
              <a:effectLst/>
            </c:spPr>
            <c:extLst>
              <c:ext xmlns:c16="http://schemas.microsoft.com/office/drawing/2014/chart" uri="{C3380CC4-5D6E-409C-BE32-E72D297353CC}">
                <c16:uniqueId val="{0000001F-5A4B-4373-A356-BBB4B5768547}"/>
              </c:ext>
            </c:extLst>
          </c:dPt>
          <c:dPt>
            <c:idx val="3"/>
            <c:bubble3D val="0"/>
            <c:spPr>
              <a:solidFill>
                <a:srgbClr val="283618"/>
              </a:solidFill>
              <a:ln w="28575" cap="rnd">
                <a:solidFill>
                  <a:schemeClr val="accent1"/>
                </a:solidFill>
                <a:round/>
              </a:ln>
              <a:effectLst/>
            </c:spPr>
            <c:extLst>
              <c:ext xmlns:c16="http://schemas.microsoft.com/office/drawing/2014/chart" uri="{C3380CC4-5D6E-409C-BE32-E72D297353CC}">
                <c16:uniqueId val="{00000021-5A4B-4373-A356-BBB4B5768547}"/>
              </c:ext>
            </c:extLst>
          </c:dPt>
          <c:dPt>
            <c:idx val="4"/>
            <c:bubble3D val="0"/>
            <c:extLst>
              <c:ext xmlns:c16="http://schemas.microsoft.com/office/drawing/2014/chart" uri="{C3380CC4-5D6E-409C-BE32-E72D297353CC}">
                <c16:uniqueId val="{00000023-5A4B-4373-A356-BBB4B5768547}"/>
              </c:ext>
            </c:extLst>
          </c:dPt>
          <c:cat>
            <c:strRef>
              <c:f>Pivot!$K$16:$K$20</c:f>
              <c:strCache>
                <c:ptCount val="4"/>
                <c:pt idx="0">
                  <c:v>Accessories</c:v>
                </c:pt>
                <c:pt idx="1">
                  <c:v>Electronics</c:v>
                </c:pt>
                <c:pt idx="2">
                  <c:v>Home</c:v>
                </c:pt>
                <c:pt idx="3">
                  <c:v>Stationery</c:v>
                </c:pt>
              </c:strCache>
            </c:strRef>
          </c:cat>
          <c:val>
            <c:numRef>
              <c:f>Pivot!$L$16:$L$20</c:f>
              <c:numCache>
                <c:formatCode>General</c:formatCode>
                <c:ptCount val="4"/>
                <c:pt idx="0">
                  <c:v>10</c:v>
                </c:pt>
                <c:pt idx="1">
                  <c:v>32</c:v>
                </c:pt>
                <c:pt idx="2">
                  <c:v>18</c:v>
                </c:pt>
                <c:pt idx="3">
                  <c:v>21</c:v>
                </c:pt>
              </c:numCache>
            </c:numRef>
          </c:val>
          <c:extLst>
            <c:ext xmlns:c16="http://schemas.microsoft.com/office/drawing/2014/chart" uri="{C3380CC4-5D6E-409C-BE32-E72D297353CC}">
              <c16:uniqueId val="{00000024-5A4B-4373-A356-BBB4B5768547}"/>
            </c:ext>
          </c:extLst>
        </c:ser>
        <c:ser>
          <c:idx val="1"/>
          <c:order val="1"/>
          <c:tx>
            <c:strRef>
              <c:f>Pivot!$M$14:$M$15</c:f>
              <c:strCache>
                <c:ptCount val="1"/>
                <c:pt idx="0">
                  <c:v>Delivered</c:v>
                </c:pt>
              </c:strCache>
            </c:strRef>
          </c:tx>
          <c:dPt>
            <c:idx val="0"/>
            <c:bubble3D val="0"/>
            <c:extLst>
              <c:ext xmlns:c16="http://schemas.microsoft.com/office/drawing/2014/chart" uri="{C3380CC4-5D6E-409C-BE32-E72D297353CC}">
                <c16:uniqueId val="{00000026-5A4B-4373-A356-BBB4B5768547}"/>
              </c:ext>
            </c:extLst>
          </c:dPt>
          <c:dPt>
            <c:idx val="1"/>
            <c:bubble3D val="0"/>
            <c:extLst>
              <c:ext xmlns:c16="http://schemas.microsoft.com/office/drawing/2014/chart" uri="{C3380CC4-5D6E-409C-BE32-E72D297353CC}">
                <c16:uniqueId val="{00000027-5A4B-4373-A356-BBB4B5768547}"/>
              </c:ext>
            </c:extLst>
          </c:dPt>
          <c:dPt>
            <c:idx val="2"/>
            <c:bubble3D val="0"/>
            <c:extLst>
              <c:ext xmlns:c16="http://schemas.microsoft.com/office/drawing/2014/chart" uri="{C3380CC4-5D6E-409C-BE32-E72D297353CC}">
                <c16:uniqueId val="{00000028-5A4B-4373-A356-BBB4B5768547}"/>
              </c:ext>
            </c:extLst>
          </c:dPt>
          <c:dPt>
            <c:idx val="3"/>
            <c:bubble3D val="0"/>
            <c:extLst>
              <c:ext xmlns:c16="http://schemas.microsoft.com/office/drawing/2014/chart" uri="{C3380CC4-5D6E-409C-BE32-E72D297353CC}">
                <c16:uniqueId val="{00000029-5A4B-4373-A356-BBB4B5768547}"/>
              </c:ext>
            </c:extLst>
          </c:dPt>
          <c:cat>
            <c:strRef>
              <c:f>Pivot!$K$16:$K$20</c:f>
              <c:strCache>
                <c:ptCount val="4"/>
                <c:pt idx="0">
                  <c:v>Accessories</c:v>
                </c:pt>
                <c:pt idx="1">
                  <c:v>Electronics</c:v>
                </c:pt>
                <c:pt idx="2">
                  <c:v>Home</c:v>
                </c:pt>
                <c:pt idx="3">
                  <c:v>Stationery</c:v>
                </c:pt>
              </c:strCache>
            </c:strRef>
          </c:cat>
          <c:val>
            <c:numRef>
              <c:f>Pivot!$M$16:$M$20</c:f>
              <c:numCache>
                <c:formatCode>General</c:formatCode>
                <c:ptCount val="4"/>
                <c:pt idx="0">
                  <c:v>79</c:v>
                </c:pt>
                <c:pt idx="1">
                  <c:v>81</c:v>
                </c:pt>
                <c:pt idx="2">
                  <c:v>85</c:v>
                </c:pt>
                <c:pt idx="3">
                  <c:v>84</c:v>
                </c:pt>
              </c:numCache>
            </c:numRef>
          </c:val>
          <c:extLst>
            <c:ext xmlns:c16="http://schemas.microsoft.com/office/drawing/2014/chart" uri="{C3380CC4-5D6E-409C-BE32-E72D297353CC}">
              <c16:uniqueId val="{00000025-5A4B-4373-A356-BBB4B5768547}"/>
            </c:ext>
          </c:extLst>
        </c:ser>
        <c:ser>
          <c:idx val="2"/>
          <c:order val="2"/>
          <c:tx>
            <c:strRef>
              <c:f>Pivot!$N$14:$N$15</c:f>
              <c:strCache>
                <c:ptCount val="1"/>
                <c:pt idx="0">
                  <c:v>Returned</c:v>
                </c:pt>
              </c:strCache>
            </c:strRef>
          </c:tx>
          <c:dPt>
            <c:idx val="0"/>
            <c:bubble3D val="0"/>
            <c:extLst>
              <c:ext xmlns:c16="http://schemas.microsoft.com/office/drawing/2014/chart" uri="{C3380CC4-5D6E-409C-BE32-E72D297353CC}">
                <c16:uniqueId val="{0000002B-5A4B-4373-A356-BBB4B5768547}"/>
              </c:ext>
            </c:extLst>
          </c:dPt>
          <c:dPt>
            <c:idx val="1"/>
            <c:bubble3D val="0"/>
            <c:extLst>
              <c:ext xmlns:c16="http://schemas.microsoft.com/office/drawing/2014/chart" uri="{C3380CC4-5D6E-409C-BE32-E72D297353CC}">
                <c16:uniqueId val="{0000002C-5A4B-4373-A356-BBB4B5768547}"/>
              </c:ext>
            </c:extLst>
          </c:dPt>
          <c:dPt>
            <c:idx val="2"/>
            <c:bubble3D val="0"/>
            <c:extLst>
              <c:ext xmlns:c16="http://schemas.microsoft.com/office/drawing/2014/chart" uri="{C3380CC4-5D6E-409C-BE32-E72D297353CC}">
                <c16:uniqueId val="{0000002D-5A4B-4373-A356-BBB4B5768547}"/>
              </c:ext>
            </c:extLst>
          </c:dPt>
          <c:dPt>
            <c:idx val="3"/>
            <c:bubble3D val="0"/>
            <c:extLst>
              <c:ext xmlns:c16="http://schemas.microsoft.com/office/drawing/2014/chart" uri="{C3380CC4-5D6E-409C-BE32-E72D297353CC}">
                <c16:uniqueId val="{0000002E-5A4B-4373-A356-BBB4B5768547}"/>
              </c:ext>
            </c:extLst>
          </c:dPt>
          <c:cat>
            <c:strRef>
              <c:f>Pivot!$K$16:$K$20</c:f>
              <c:strCache>
                <c:ptCount val="4"/>
                <c:pt idx="0">
                  <c:v>Accessories</c:v>
                </c:pt>
                <c:pt idx="1">
                  <c:v>Electronics</c:v>
                </c:pt>
                <c:pt idx="2">
                  <c:v>Home</c:v>
                </c:pt>
                <c:pt idx="3">
                  <c:v>Stationery</c:v>
                </c:pt>
              </c:strCache>
            </c:strRef>
          </c:cat>
          <c:val>
            <c:numRef>
              <c:f>Pivot!$N$16:$N$20</c:f>
              <c:numCache>
                <c:formatCode>General</c:formatCode>
                <c:ptCount val="4"/>
                <c:pt idx="0">
                  <c:v>23</c:v>
                </c:pt>
                <c:pt idx="1">
                  <c:v>30</c:v>
                </c:pt>
                <c:pt idx="2">
                  <c:v>16</c:v>
                </c:pt>
                <c:pt idx="3">
                  <c:v>21</c:v>
                </c:pt>
              </c:numCache>
            </c:numRef>
          </c:val>
          <c:extLst>
            <c:ext xmlns:c16="http://schemas.microsoft.com/office/drawing/2014/chart" uri="{C3380CC4-5D6E-409C-BE32-E72D297353CC}">
              <c16:uniqueId val="{0000002A-5A4B-4373-A356-BBB4B5768547}"/>
            </c:ext>
          </c:extLst>
        </c:ser>
        <c:dLbls>
          <c:showLegendKey val="0"/>
          <c:showVal val="0"/>
          <c:showCatName val="0"/>
          <c:showSerName val="0"/>
          <c:showPercent val="0"/>
          <c:showBubbleSize val="0"/>
          <c:showLeaderLines val="1"/>
        </c:dLbls>
        <c:firstSliceAng val="0"/>
      </c:pieChart>
      <c:spPr>
        <a:noFill/>
      </c:spPr>
    </c:plotArea>
    <c:legend>
      <c:legendPos val="r"/>
      <c:layout>
        <c:manualLayout>
          <c:xMode val="edge"/>
          <c:yMode val="edge"/>
          <c:x val="1.611516351867056E-2"/>
          <c:y val="1.1423698555899165E-2"/>
          <c:w val="0.17679553859448552"/>
          <c:h val="0.29284070260448214"/>
        </c:manualLayout>
      </c:layout>
      <c:overlay val="0"/>
      <c:spPr>
        <a:noFill/>
        <a:ln>
          <a:noFill/>
        </a:ln>
        <a:effectLst/>
      </c:spPr>
      <c:txPr>
        <a:bodyPr rot="0" vert="horz"/>
        <a:lstStyle/>
        <a:p>
          <a:pPr>
            <a:defRPr/>
          </a:pPr>
          <a:endParaRPr lang="en-US"/>
        </a:p>
      </c:txPr>
    </c:legend>
    <c:plotVisOnly val="1"/>
    <c:dispBlanksAs val="gap"/>
    <c:showDLblsOverMax val="0"/>
    <c:extLst/>
  </c:chart>
  <c:spPr>
    <a:noFill/>
    <a:ln w="9525" cap="flat" cmpd="sng" algn="ctr">
      <a:noFill/>
      <a:round/>
    </a:ln>
    <a:effectLst/>
  </c:spPr>
  <c:txPr>
    <a:bodyPr/>
    <a:lstStyle/>
    <a:p>
      <a:pPr>
        <a:defRPr b="1">
          <a:solidFill>
            <a:srgbClr val="EAEAE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[CommerceFlow – Sales &amp; Delivery Overview.xlsx]Pivot!PivotTable19</c:name>
    <c:fmtId val="5"/>
  </c:pivotSource>
  <c:chart>
    <c:title>
      <c:tx>
        <c:rich>
          <a:bodyPr rot="0" vert="horz"/>
          <a:lstStyle/>
          <a:p>
            <a:pPr>
              <a:defRPr/>
            </a:pPr>
            <a:r>
              <a:rPr lang="en-IN"/>
              <a:t>CATEGORY WISE REVENUE</a:t>
            </a:r>
          </a:p>
        </c:rich>
      </c:tx>
      <c:layout>
        <c:manualLayout>
          <c:xMode val="edge"/>
          <c:yMode val="edge"/>
          <c:x val="0.1666100474242774"/>
          <c:y val="1.2882735715312787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rgbClr val="BC6C25"/>
            </a:solidFill>
            <a:ln w="9525">
              <a:solidFill>
                <a:schemeClr val="accent1"/>
              </a:solidFill>
            </a:ln>
            <a:effectLst/>
          </c:spPr>
        </c:marker>
        <c:dLbl>
          <c:idx val="0"/>
          <c:delete val="1"/>
          <c:extLst>
            <c:ext xmlns:c15="http://schemas.microsoft.com/office/drawing/2012/chart" uri="{CE6537A1-D6FC-4f65-9D91-7224C49458BB}"/>
          </c:extLst>
        </c:dLbl>
      </c:pivotFmt>
      <c:pivotFmt>
        <c:idx val="10"/>
        <c:spPr>
          <a:solidFill>
            <a:srgbClr val="FEFAE0"/>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11"/>
        <c:spPr>
          <a:solidFill>
            <a:srgbClr val="BC6C25"/>
          </a:solidFill>
          <a:ln w="28575" cap="rnd">
            <a:solidFill>
              <a:schemeClr val="accent2"/>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12"/>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rgbClr val="BC6C25"/>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4"/>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rgbClr val="BC6C25"/>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6"/>
        <c:spPr>
          <a:solidFill>
            <a:srgbClr val="FFB40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rgbClr val="2CA58D"/>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434951881014873"/>
          <c:y val="0.24407011162916675"/>
          <c:w val="0.841946631671041"/>
          <c:h val="0.65338312258323628"/>
        </c:manualLayout>
      </c:layout>
      <c:barChart>
        <c:barDir val="col"/>
        <c:grouping val="clustered"/>
        <c:varyColors val="0"/>
        <c:ser>
          <c:idx val="0"/>
          <c:order val="0"/>
          <c:tx>
            <c:strRef>
              <c:f>Pivot!$L$6</c:f>
              <c:strCache>
                <c:ptCount val="1"/>
                <c:pt idx="0">
                  <c:v>Sum of Net_Sales</c:v>
                </c:pt>
              </c:strCache>
            </c:strRef>
          </c:tx>
          <c:spPr>
            <a:solidFill>
              <a:srgbClr val="2CA58D"/>
            </a:solidFill>
            <a:ln w="28575" cap="rnd">
              <a:solidFill>
                <a:schemeClr val="accent2"/>
              </a:solidFill>
              <a:round/>
            </a:ln>
            <a:effectLst/>
          </c:spPr>
          <c:invertIfNegative val="0"/>
          <c:cat>
            <c:strRef>
              <c:f>Pivot!$K$7:$K$11</c:f>
              <c:strCache>
                <c:ptCount val="4"/>
                <c:pt idx="0">
                  <c:v>Accessories</c:v>
                </c:pt>
                <c:pt idx="1">
                  <c:v>Electronics</c:v>
                </c:pt>
                <c:pt idx="2">
                  <c:v>Home</c:v>
                </c:pt>
                <c:pt idx="3">
                  <c:v>Stationery</c:v>
                </c:pt>
              </c:strCache>
            </c:strRef>
          </c:cat>
          <c:val>
            <c:numRef>
              <c:f>Pivot!$L$7:$L$11</c:f>
              <c:numCache>
                <c:formatCode>[$$-409]#,##0.00</c:formatCode>
                <c:ptCount val="4"/>
                <c:pt idx="0">
                  <c:v>157370.94999999998</c:v>
                </c:pt>
                <c:pt idx="1">
                  <c:v>358290.64999999991</c:v>
                </c:pt>
                <c:pt idx="2">
                  <c:v>492447.15000000008</c:v>
                </c:pt>
                <c:pt idx="3">
                  <c:v>62833.549999999988</c:v>
                </c:pt>
              </c:numCache>
            </c:numRef>
          </c:val>
          <c:extLst>
            <c:ext xmlns:c16="http://schemas.microsoft.com/office/drawing/2014/chart" uri="{C3380CC4-5D6E-409C-BE32-E72D297353CC}">
              <c16:uniqueId val="{00000003-CB24-4DF1-98B3-7BF5BD782EFE}"/>
            </c:ext>
          </c:extLst>
        </c:ser>
        <c:ser>
          <c:idx val="1"/>
          <c:order val="1"/>
          <c:tx>
            <c:strRef>
              <c:f>Pivot!$M$6</c:f>
              <c:strCache>
                <c:ptCount val="1"/>
                <c:pt idx="0">
                  <c:v>Sum of Revenue</c:v>
                </c:pt>
              </c:strCache>
            </c:strRef>
          </c:tx>
          <c:spPr>
            <a:solidFill>
              <a:srgbClr val="FFB400"/>
            </a:solidFill>
            <a:ln w="28575" cap="rnd">
              <a:solidFill>
                <a:schemeClr val="accent1"/>
              </a:solidFill>
              <a:round/>
            </a:ln>
            <a:effectLst/>
          </c:spPr>
          <c:invertIfNegative val="0"/>
          <c:cat>
            <c:strRef>
              <c:f>Pivot!$K$7:$K$11</c:f>
              <c:strCache>
                <c:ptCount val="4"/>
                <c:pt idx="0">
                  <c:v>Accessories</c:v>
                </c:pt>
                <c:pt idx="1">
                  <c:v>Electronics</c:v>
                </c:pt>
                <c:pt idx="2">
                  <c:v>Home</c:v>
                </c:pt>
                <c:pt idx="3">
                  <c:v>Stationery</c:v>
                </c:pt>
              </c:strCache>
            </c:strRef>
          </c:cat>
          <c:val>
            <c:numRef>
              <c:f>Pivot!$M$7:$M$11</c:f>
              <c:numCache>
                <c:formatCode>[$$-409]#,##0.0</c:formatCode>
                <c:ptCount val="4"/>
                <c:pt idx="0">
                  <c:v>112289.65000000001</c:v>
                </c:pt>
                <c:pt idx="1">
                  <c:v>195291.54999999996</c:v>
                </c:pt>
                <c:pt idx="2">
                  <c:v>354962.30000000005</c:v>
                </c:pt>
                <c:pt idx="3">
                  <c:v>43246.400000000001</c:v>
                </c:pt>
              </c:numCache>
            </c:numRef>
          </c:val>
          <c:extLst>
            <c:ext xmlns:c16="http://schemas.microsoft.com/office/drawing/2014/chart" uri="{C3380CC4-5D6E-409C-BE32-E72D297353CC}">
              <c16:uniqueId val="{00000005-CB24-4DF1-98B3-7BF5BD782EFE}"/>
            </c:ext>
          </c:extLst>
        </c:ser>
        <c:dLbls>
          <c:showLegendKey val="0"/>
          <c:showVal val="0"/>
          <c:showCatName val="0"/>
          <c:showSerName val="0"/>
          <c:showPercent val="0"/>
          <c:showBubbleSize val="0"/>
        </c:dLbls>
        <c:gapWidth val="150"/>
        <c:axId val="1647163424"/>
        <c:axId val="1951958768"/>
      </c:barChart>
      <c:catAx>
        <c:axId val="164716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951958768"/>
        <c:crosses val="autoZero"/>
        <c:auto val="1"/>
        <c:lblAlgn val="ctr"/>
        <c:lblOffset val="100"/>
        <c:noMultiLvlLbl val="0"/>
      </c:catAx>
      <c:valAx>
        <c:axId val="1951958768"/>
        <c:scaling>
          <c:orientation val="minMax"/>
        </c:scaling>
        <c:delete val="0"/>
        <c:axPos val="l"/>
        <c:numFmt formatCode="[$$-409]#,##0.00" sourceLinked="1"/>
        <c:majorTickMark val="out"/>
        <c:minorTickMark val="none"/>
        <c:tickLblPos val="nextTo"/>
        <c:spPr>
          <a:noFill/>
          <a:ln>
            <a:noFill/>
          </a:ln>
          <a:effectLst/>
        </c:spPr>
        <c:txPr>
          <a:bodyPr rot="-60000000" vert="horz"/>
          <a:lstStyle/>
          <a:p>
            <a:pPr>
              <a:defRPr/>
            </a:pPr>
            <a:endParaRPr lang="en-US"/>
          </a:p>
        </c:txPr>
        <c:crossAx val="1647163424"/>
        <c:crosses val="autoZero"/>
        <c:crossBetween val="between"/>
      </c:valAx>
      <c:spPr>
        <a:noFill/>
      </c:spPr>
    </c:plotArea>
    <c:legend>
      <c:legendPos val="r"/>
      <c:layout>
        <c:manualLayout>
          <c:xMode val="edge"/>
          <c:yMode val="edge"/>
          <c:x val="0.74677347028322638"/>
          <c:y val="1.7605680807023895E-3"/>
          <c:w val="0.24854155730533684"/>
          <c:h val="0.17771905047495598"/>
        </c:manualLayout>
      </c:layout>
      <c:overlay val="0"/>
    </c:legend>
    <c:plotVisOnly val="1"/>
    <c:dispBlanksAs val="gap"/>
    <c:showDLblsOverMax val="0"/>
    <c:extLst/>
  </c:chart>
  <c:spPr>
    <a:noFill/>
    <a:ln w="9525" cap="flat" cmpd="sng" algn="ctr">
      <a:noFill/>
      <a:round/>
    </a:ln>
    <a:effectLst/>
  </c:spPr>
  <c:txPr>
    <a:bodyPr/>
    <a:lstStyle/>
    <a:p>
      <a:pPr>
        <a:defRPr b="1">
          <a:solidFill>
            <a:srgbClr val="EAEAE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[CommerceFlow – Sales &amp; Delivery Overview.xlsx]Pivot!PivotTable23</c:name>
    <c:fmtId val="3"/>
  </c:pivotSource>
  <c:chart>
    <c:title>
      <c:tx>
        <c:rich>
          <a:bodyPr rot="0" vert="horz"/>
          <a:lstStyle/>
          <a:p>
            <a:pPr>
              <a:defRPr/>
            </a:pPr>
            <a:r>
              <a:rPr lang="en-IN"/>
              <a:t>REGION WISE SALES</a:t>
            </a:r>
          </a:p>
        </c:rich>
      </c:tx>
      <c:layout>
        <c:manualLayout>
          <c:xMode val="edge"/>
          <c:yMode val="edge"/>
          <c:x val="0.29353839342538529"/>
          <c:y val="1.6254843076294968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rgbClr val="BC6C25"/>
            </a:solidFill>
            <a:ln w="9525">
              <a:solidFill>
                <a:schemeClr val="accent1"/>
              </a:solidFill>
            </a:ln>
            <a:effectLst/>
          </c:spPr>
        </c:marker>
        <c:dLbl>
          <c:idx val="0"/>
          <c:delete val="1"/>
          <c:extLst>
            <c:ext xmlns:c15="http://schemas.microsoft.com/office/drawing/2012/chart" uri="{CE6537A1-D6FC-4f65-9D91-7224C49458BB}"/>
          </c:extLst>
        </c:dLbl>
      </c:pivotFmt>
      <c:pivotFmt>
        <c:idx val="10"/>
        <c:spPr>
          <a:solidFill>
            <a:srgbClr val="FEFAE0"/>
          </a:solidFill>
          <a:ln w="28575" cap="rnd">
            <a:solidFill>
              <a:schemeClr val="accent1"/>
            </a:solidFill>
            <a:round/>
          </a:ln>
          <a:effectLst/>
        </c:spPr>
        <c:marker>
          <c:symbol val="circle"/>
          <c:size val="5"/>
          <c:spPr>
            <a:solidFill>
              <a:srgbClr val="FEFAE0"/>
            </a:solidFill>
            <a:ln w="9525">
              <a:solidFill>
                <a:schemeClr val="accent1"/>
              </a:solidFill>
            </a:ln>
            <a:effectLst/>
          </c:spPr>
        </c:marker>
        <c:dLbl>
          <c:idx val="0"/>
          <c:delete val="1"/>
          <c:extLst>
            <c:ext xmlns:c15="http://schemas.microsoft.com/office/drawing/2012/chart" uri="{CE6537A1-D6FC-4f65-9D91-7224C49458BB}"/>
          </c:extLst>
        </c:dLbl>
      </c:pivotFmt>
      <c:pivotFmt>
        <c:idx val="11"/>
        <c:spPr>
          <a:solidFill>
            <a:srgbClr val="BC6C25"/>
          </a:solidFill>
          <a:ln w="28575" cap="rnd">
            <a:solidFill>
              <a:schemeClr val="accent2"/>
            </a:solidFill>
            <a:round/>
          </a:ln>
          <a:effectLst/>
        </c:spPr>
        <c:marker>
          <c:symbol val="circle"/>
          <c:size val="5"/>
          <c:spPr>
            <a:solidFill>
              <a:srgbClr val="BC6C25"/>
            </a:solidFill>
            <a:ln w="9525">
              <a:solidFill>
                <a:schemeClr val="accent2"/>
              </a:solidFill>
            </a:ln>
            <a:effectLst/>
          </c:spPr>
        </c:marker>
        <c:dLbl>
          <c:idx val="0"/>
          <c:delete val="1"/>
          <c:extLst>
            <c:ext xmlns:c15="http://schemas.microsoft.com/office/drawing/2012/chart" uri="{CE6537A1-D6FC-4f65-9D91-7224C49458BB}"/>
          </c:extLst>
        </c:dLbl>
      </c:pivotFmt>
      <c:pivotFmt>
        <c:idx val="12"/>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solidFill>
            <a:srgbClr val="BC6C25"/>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4"/>
        <c:spPr>
          <a:solidFill>
            <a:srgbClr val="FEFAE0"/>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solidFill>
            <a:srgbClr val="BC6C25"/>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6"/>
        <c:spPr>
          <a:solidFill>
            <a:srgbClr val="2CA58D"/>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solidFill>
            <a:srgbClr val="FFB400"/>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724759405074366"/>
          <c:y val="0.18018805470123639"/>
          <c:w val="0.841946631671041"/>
          <c:h val="0.65338312258323628"/>
        </c:manualLayout>
      </c:layout>
      <c:barChart>
        <c:barDir val="col"/>
        <c:grouping val="clustered"/>
        <c:varyColors val="0"/>
        <c:ser>
          <c:idx val="0"/>
          <c:order val="0"/>
          <c:tx>
            <c:strRef>
              <c:f>Pivot!$S$6</c:f>
              <c:strCache>
                <c:ptCount val="1"/>
                <c:pt idx="0">
                  <c:v>Sum of Net_Sales</c:v>
                </c:pt>
              </c:strCache>
            </c:strRef>
          </c:tx>
          <c:spPr>
            <a:solidFill>
              <a:srgbClr val="2CA58D"/>
            </a:solidFill>
            <a:ln w="28575" cap="rnd">
              <a:solidFill>
                <a:schemeClr val="accent1"/>
              </a:solidFill>
              <a:round/>
            </a:ln>
            <a:effectLst/>
          </c:spPr>
          <c:invertIfNegative val="0"/>
          <c:cat>
            <c:strRef>
              <c:f>Pivot!$R$7:$R$17</c:f>
              <c:strCache>
                <c:ptCount val="10"/>
                <c:pt idx="0">
                  <c:v>C020</c:v>
                </c:pt>
                <c:pt idx="1">
                  <c:v>C022</c:v>
                </c:pt>
                <c:pt idx="2">
                  <c:v>C029</c:v>
                </c:pt>
                <c:pt idx="3">
                  <c:v>C031</c:v>
                </c:pt>
                <c:pt idx="4">
                  <c:v>C043</c:v>
                </c:pt>
                <c:pt idx="5">
                  <c:v>C050</c:v>
                </c:pt>
                <c:pt idx="6">
                  <c:v>C051</c:v>
                </c:pt>
                <c:pt idx="7">
                  <c:v>C056</c:v>
                </c:pt>
                <c:pt idx="8">
                  <c:v>C058</c:v>
                </c:pt>
                <c:pt idx="9">
                  <c:v>C062</c:v>
                </c:pt>
              </c:strCache>
            </c:strRef>
          </c:cat>
          <c:val>
            <c:numRef>
              <c:f>Pivot!$S$7:$S$17</c:f>
              <c:numCache>
                <c:formatCode>General</c:formatCode>
                <c:ptCount val="10"/>
                <c:pt idx="0">
                  <c:v>34205</c:v>
                </c:pt>
                <c:pt idx="1">
                  <c:v>29197.149999999998</c:v>
                </c:pt>
                <c:pt idx="2">
                  <c:v>26615.649999999998</c:v>
                </c:pt>
                <c:pt idx="3">
                  <c:v>33151.550000000003</c:v>
                </c:pt>
                <c:pt idx="4">
                  <c:v>31005.200000000001</c:v>
                </c:pt>
                <c:pt idx="5">
                  <c:v>26660.650000000005</c:v>
                </c:pt>
                <c:pt idx="6">
                  <c:v>26752.499999999996</c:v>
                </c:pt>
                <c:pt idx="7">
                  <c:v>43601.15</c:v>
                </c:pt>
                <c:pt idx="8">
                  <c:v>31942.5</c:v>
                </c:pt>
                <c:pt idx="9">
                  <c:v>42096.95</c:v>
                </c:pt>
              </c:numCache>
            </c:numRef>
          </c:val>
          <c:extLst>
            <c:ext xmlns:c16="http://schemas.microsoft.com/office/drawing/2014/chart" uri="{C3380CC4-5D6E-409C-BE32-E72D297353CC}">
              <c16:uniqueId val="{00000004-D70C-44B6-B6E6-AD4B6A3C6610}"/>
            </c:ext>
          </c:extLst>
        </c:ser>
        <c:ser>
          <c:idx val="1"/>
          <c:order val="1"/>
          <c:tx>
            <c:strRef>
              <c:f>Pivot!$T$6</c:f>
              <c:strCache>
                <c:ptCount val="1"/>
                <c:pt idx="0">
                  <c:v>Sum of Revenue</c:v>
                </c:pt>
              </c:strCache>
            </c:strRef>
          </c:tx>
          <c:spPr>
            <a:solidFill>
              <a:srgbClr val="FFB400"/>
            </a:solidFill>
            <a:ln w="28575" cap="rnd">
              <a:solidFill>
                <a:schemeClr val="accent2"/>
              </a:solidFill>
              <a:round/>
            </a:ln>
            <a:effectLst/>
          </c:spPr>
          <c:invertIfNegative val="0"/>
          <c:cat>
            <c:strRef>
              <c:f>Pivot!$R$7:$R$17</c:f>
              <c:strCache>
                <c:ptCount val="10"/>
                <c:pt idx="0">
                  <c:v>C020</c:v>
                </c:pt>
                <c:pt idx="1">
                  <c:v>C022</c:v>
                </c:pt>
                <c:pt idx="2">
                  <c:v>C029</c:v>
                </c:pt>
                <c:pt idx="3">
                  <c:v>C031</c:v>
                </c:pt>
                <c:pt idx="4">
                  <c:v>C043</c:v>
                </c:pt>
                <c:pt idx="5">
                  <c:v>C050</c:v>
                </c:pt>
                <c:pt idx="6">
                  <c:v>C051</c:v>
                </c:pt>
                <c:pt idx="7">
                  <c:v>C056</c:v>
                </c:pt>
                <c:pt idx="8">
                  <c:v>C058</c:v>
                </c:pt>
                <c:pt idx="9">
                  <c:v>C062</c:v>
                </c:pt>
              </c:strCache>
            </c:strRef>
          </c:cat>
          <c:val>
            <c:numRef>
              <c:f>Pivot!$T$7:$T$17</c:f>
              <c:numCache>
                <c:formatCode>General</c:formatCode>
                <c:ptCount val="10"/>
                <c:pt idx="0">
                  <c:v>33306.800000000003</c:v>
                </c:pt>
                <c:pt idx="1">
                  <c:v>23370.449999999997</c:v>
                </c:pt>
                <c:pt idx="2">
                  <c:v>26018.649999999998</c:v>
                </c:pt>
                <c:pt idx="3">
                  <c:v>16718.55</c:v>
                </c:pt>
                <c:pt idx="4">
                  <c:v>28817.95</c:v>
                </c:pt>
                <c:pt idx="5">
                  <c:v>22750.100000000006</c:v>
                </c:pt>
                <c:pt idx="6">
                  <c:v>24875.299999999996</c:v>
                </c:pt>
                <c:pt idx="7">
                  <c:v>10661.8</c:v>
                </c:pt>
                <c:pt idx="8">
                  <c:v>29544.5</c:v>
                </c:pt>
                <c:pt idx="9">
                  <c:v>24350.45</c:v>
                </c:pt>
              </c:numCache>
            </c:numRef>
          </c:val>
          <c:extLst>
            <c:ext xmlns:c16="http://schemas.microsoft.com/office/drawing/2014/chart" uri="{C3380CC4-5D6E-409C-BE32-E72D297353CC}">
              <c16:uniqueId val="{00000006-D70C-44B6-B6E6-AD4B6A3C6610}"/>
            </c:ext>
          </c:extLst>
        </c:ser>
        <c:ser>
          <c:idx val="2"/>
          <c:order val="2"/>
          <c:tx>
            <c:strRef>
              <c:f>Pivot!$U$6</c:f>
              <c:strCache>
                <c:ptCount val="1"/>
                <c:pt idx="0">
                  <c:v>Sum of Difference</c:v>
                </c:pt>
              </c:strCache>
            </c:strRef>
          </c:tx>
          <c:invertIfNegative val="0"/>
          <c:cat>
            <c:strRef>
              <c:f>Pivot!$R$7:$R$17</c:f>
              <c:strCache>
                <c:ptCount val="10"/>
                <c:pt idx="0">
                  <c:v>C020</c:v>
                </c:pt>
                <c:pt idx="1">
                  <c:v>C022</c:v>
                </c:pt>
                <c:pt idx="2">
                  <c:v>C029</c:v>
                </c:pt>
                <c:pt idx="3">
                  <c:v>C031</c:v>
                </c:pt>
                <c:pt idx="4">
                  <c:v>C043</c:v>
                </c:pt>
                <c:pt idx="5">
                  <c:v>C050</c:v>
                </c:pt>
                <c:pt idx="6">
                  <c:v>C051</c:v>
                </c:pt>
                <c:pt idx="7">
                  <c:v>C056</c:v>
                </c:pt>
                <c:pt idx="8">
                  <c:v>C058</c:v>
                </c:pt>
                <c:pt idx="9">
                  <c:v>C062</c:v>
                </c:pt>
              </c:strCache>
            </c:strRef>
          </c:cat>
          <c:val>
            <c:numRef>
              <c:f>Pivot!$U$7:$U$17</c:f>
              <c:numCache>
                <c:formatCode>0.00%</c:formatCode>
                <c:ptCount val="10"/>
                <c:pt idx="0">
                  <c:v>2.6259318813038945E-2</c:v>
                </c:pt>
                <c:pt idx="1">
                  <c:v>0.19956399854095352</c:v>
                </c:pt>
                <c:pt idx="2">
                  <c:v>2.2430412182306278E-2</c:v>
                </c:pt>
                <c:pt idx="3">
                  <c:v>0.49569326321092083</c:v>
                </c:pt>
                <c:pt idx="4">
                  <c:v>7.0544618322087901E-2</c:v>
                </c:pt>
                <c:pt idx="5">
                  <c:v>0.14667871938606142</c:v>
                </c:pt>
                <c:pt idx="6">
                  <c:v>7.0169143070741083E-2</c:v>
                </c:pt>
                <c:pt idx="7">
                  <c:v>0.75546975251799564</c:v>
                </c:pt>
                <c:pt idx="8">
                  <c:v>7.507239571104328E-2</c:v>
                </c:pt>
                <c:pt idx="9">
                  <c:v>0.42156260726727229</c:v>
                </c:pt>
              </c:numCache>
            </c:numRef>
          </c:val>
          <c:extLst>
            <c:ext xmlns:c16="http://schemas.microsoft.com/office/drawing/2014/chart" uri="{C3380CC4-5D6E-409C-BE32-E72D297353CC}">
              <c16:uniqueId val="{00000007-D70C-44B6-B6E6-AD4B6A3C6610}"/>
            </c:ext>
          </c:extLst>
        </c:ser>
        <c:dLbls>
          <c:showLegendKey val="0"/>
          <c:showVal val="0"/>
          <c:showCatName val="0"/>
          <c:showSerName val="0"/>
          <c:showPercent val="0"/>
          <c:showBubbleSize val="0"/>
        </c:dLbls>
        <c:gapWidth val="150"/>
        <c:axId val="1647163424"/>
        <c:axId val="1951958768"/>
      </c:barChart>
      <c:catAx>
        <c:axId val="164716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951958768"/>
        <c:crosses val="autoZero"/>
        <c:auto val="1"/>
        <c:lblAlgn val="ctr"/>
        <c:lblOffset val="100"/>
        <c:noMultiLvlLbl val="0"/>
      </c:catAx>
      <c:valAx>
        <c:axId val="1951958768"/>
        <c:scaling>
          <c:orientation val="minMax"/>
        </c:scaling>
        <c:delete val="0"/>
        <c:axPos val="l"/>
        <c:numFmt formatCode="General" sourceLinked="1"/>
        <c:majorTickMark val="out"/>
        <c:minorTickMark val="none"/>
        <c:tickLblPos val="nextTo"/>
        <c:spPr>
          <a:noFill/>
          <a:ln>
            <a:noFill/>
          </a:ln>
          <a:effectLst/>
        </c:spPr>
        <c:txPr>
          <a:bodyPr rot="-60000000" vert="horz"/>
          <a:lstStyle/>
          <a:p>
            <a:pPr>
              <a:defRPr/>
            </a:pPr>
            <a:endParaRPr lang="en-US"/>
          </a:p>
        </c:txPr>
        <c:crossAx val="1647163424"/>
        <c:crosses val="autoZero"/>
        <c:crossBetween val="between"/>
      </c:valAx>
      <c:spPr>
        <a:noFill/>
      </c:spPr>
    </c:plotArea>
    <c:legend>
      <c:legendPos val="r"/>
      <c:legendEntry>
        <c:idx val="2"/>
        <c:delete val="1"/>
      </c:legendEntry>
      <c:layout>
        <c:manualLayout>
          <c:xMode val="edge"/>
          <c:yMode val="edge"/>
          <c:x val="0.73553446415230084"/>
          <c:y val="2.9549105226000117E-4"/>
          <c:w val="0.25102695475964676"/>
          <c:h val="0.14679359421961033"/>
        </c:manualLayout>
      </c:layout>
      <c:overlay val="0"/>
    </c:legend>
    <c:plotVisOnly val="1"/>
    <c:dispBlanksAs val="gap"/>
    <c:showDLblsOverMax val="0"/>
    <c:extLst/>
  </c:chart>
  <c:spPr>
    <a:noFill/>
    <a:ln w="9525" cap="flat" cmpd="sng" algn="ctr">
      <a:noFill/>
      <a:round/>
    </a:ln>
    <a:effectLst/>
  </c:spPr>
  <c:txPr>
    <a:bodyPr/>
    <a:lstStyle/>
    <a:p>
      <a:pPr>
        <a:defRPr b="1">
          <a:solidFill>
            <a:srgbClr val="EAEAE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12</xdr:col>
      <xdr:colOff>304800</xdr:colOff>
      <xdr:row>18</xdr:row>
      <xdr:rowOff>135467</xdr:rowOff>
    </xdr:to>
    <xdr:graphicFrame macro="">
      <xdr:nvGraphicFramePr>
        <xdr:cNvPr id="2" name="Chart 1">
          <a:extLst>
            <a:ext uri="{FF2B5EF4-FFF2-40B4-BE49-F238E27FC236}">
              <a16:creationId xmlns:a16="http://schemas.microsoft.com/office/drawing/2014/main" id="{3AAE645C-B3EA-4E88-8355-FA8256D08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601132</xdr:colOff>
      <xdr:row>19</xdr:row>
      <xdr:rowOff>56092</xdr:rowOff>
    </xdr:from>
    <xdr:to>
      <xdr:col>20</xdr:col>
      <xdr:colOff>285749</xdr:colOff>
      <xdr:row>38</xdr:row>
      <xdr:rowOff>12095</xdr:rowOff>
    </xdr:to>
    <xdr:graphicFrame macro="">
      <xdr:nvGraphicFramePr>
        <xdr:cNvPr id="3" name="Chart 2">
          <a:extLst>
            <a:ext uri="{FF2B5EF4-FFF2-40B4-BE49-F238E27FC236}">
              <a16:creationId xmlns:a16="http://schemas.microsoft.com/office/drawing/2014/main" id="{4DEFEDC0-F33E-4D1D-9B39-998D4DE61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4</xdr:row>
      <xdr:rowOff>0</xdr:rowOff>
    </xdr:from>
    <xdr:to>
      <xdr:col>20</xdr:col>
      <xdr:colOff>304800</xdr:colOff>
      <xdr:row>18</xdr:row>
      <xdr:rowOff>104775</xdr:rowOff>
    </xdr:to>
    <xdr:graphicFrame macro="">
      <xdr:nvGraphicFramePr>
        <xdr:cNvPr id="4" name="Chart 3">
          <a:extLst>
            <a:ext uri="{FF2B5EF4-FFF2-40B4-BE49-F238E27FC236}">
              <a16:creationId xmlns:a16="http://schemas.microsoft.com/office/drawing/2014/main" id="{291CB59A-C98F-4394-9530-38091EA0F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317499</xdr:colOff>
      <xdr:row>3</xdr:row>
      <xdr:rowOff>34925</xdr:rowOff>
    </xdr:from>
    <xdr:to>
      <xdr:col>36</xdr:col>
      <xdr:colOff>98424</xdr:colOff>
      <xdr:row>17</xdr:row>
      <xdr:rowOff>139700</xdr:rowOff>
    </xdr:to>
    <xdr:graphicFrame macro="">
      <xdr:nvGraphicFramePr>
        <xdr:cNvPr id="5" name="Chart 4">
          <a:extLst>
            <a:ext uri="{FF2B5EF4-FFF2-40B4-BE49-F238E27FC236}">
              <a16:creationId xmlns:a16="http://schemas.microsoft.com/office/drawing/2014/main" id="{2647EAA8-05B8-41DA-9F5E-3B89E268A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495300</xdr:colOff>
      <xdr:row>19</xdr:row>
      <xdr:rowOff>136524</xdr:rowOff>
    </xdr:from>
    <xdr:to>
      <xdr:col>28</xdr:col>
      <xdr:colOff>276225</xdr:colOff>
      <xdr:row>37</xdr:row>
      <xdr:rowOff>73024</xdr:rowOff>
    </xdr:to>
    <xdr:graphicFrame macro="">
      <xdr:nvGraphicFramePr>
        <xdr:cNvPr id="6" name="Chart 5">
          <a:extLst>
            <a:ext uri="{FF2B5EF4-FFF2-40B4-BE49-F238E27FC236}">
              <a16:creationId xmlns:a16="http://schemas.microsoft.com/office/drawing/2014/main" id="{0234B3FD-0A8C-4A61-9AAE-C8FC8BD42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488950</xdr:colOff>
      <xdr:row>3</xdr:row>
      <xdr:rowOff>73026</xdr:rowOff>
    </xdr:from>
    <xdr:to>
      <xdr:col>28</xdr:col>
      <xdr:colOff>184150</xdr:colOff>
      <xdr:row>17</xdr:row>
      <xdr:rowOff>168276</xdr:rowOff>
    </xdr:to>
    <xdr:graphicFrame macro="">
      <xdr:nvGraphicFramePr>
        <xdr:cNvPr id="8" name="Chart 7">
          <a:extLst>
            <a:ext uri="{FF2B5EF4-FFF2-40B4-BE49-F238E27FC236}">
              <a16:creationId xmlns:a16="http://schemas.microsoft.com/office/drawing/2014/main" id="{6CB6EF15-E438-4141-BEE8-3D97A6284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181384</xdr:colOff>
      <xdr:row>20</xdr:row>
      <xdr:rowOff>7976</xdr:rowOff>
    </xdr:from>
    <xdr:to>
      <xdr:col>35</xdr:col>
      <xdr:colOff>440917</xdr:colOff>
      <xdr:row>37</xdr:row>
      <xdr:rowOff>114300</xdr:rowOff>
    </xdr:to>
    <xdr:graphicFrame macro="">
      <xdr:nvGraphicFramePr>
        <xdr:cNvPr id="9" name="Chart 8">
          <a:extLst>
            <a:ext uri="{FF2B5EF4-FFF2-40B4-BE49-F238E27FC236}">
              <a16:creationId xmlns:a16="http://schemas.microsoft.com/office/drawing/2014/main" id="{09C6807C-6B3A-4259-989F-6E20FFDB7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476582</xdr:colOff>
      <xdr:row>5</xdr:row>
      <xdr:rowOff>147912</xdr:rowOff>
    </xdr:from>
    <xdr:to>
      <xdr:col>2</xdr:col>
      <xdr:colOff>309382</xdr:colOff>
      <xdr:row>8</xdr:row>
      <xdr:rowOff>28646</xdr:rowOff>
    </xdr:to>
    <xdr:sp macro="" textlink="Pivot!E3">
      <xdr:nvSpPr>
        <xdr:cNvPr id="10" name="Rectangle: Rounded Corners 9">
          <a:extLst>
            <a:ext uri="{FF2B5EF4-FFF2-40B4-BE49-F238E27FC236}">
              <a16:creationId xmlns:a16="http://schemas.microsoft.com/office/drawing/2014/main" id="{128AF624-B081-01D8-4F65-B55234643441}"/>
            </a:ext>
          </a:extLst>
        </xdr:cNvPr>
        <xdr:cNvSpPr/>
      </xdr:nvSpPr>
      <xdr:spPr>
        <a:xfrm>
          <a:off x="476582" y="1064604"/>
          <a:ext cx="1047417" cy="430749"/>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B10C4E9F-630B-4CE0-86E8-FAD103692720}" type="TxLink">
            <a:rPr lang="en-US" sz="1100" b="1" i="0" u="none" strike="noStrike">
              <a:solidFill>
                <a:srgbClr val="EAEAEA"/>
              </a:solidFill>
              <a:effectLst>
                <a:outerShdw blurRad="50800" dist="38100" dir="2700000" algn="tl" rotWithShape="0">
                  <a:prstClr val="black">
                    <a:alpha val="40000"/>
                  </a:prstClr>
                </a:outerShdw>
              </a:effectLst>
              <a:latin typeface="Calibri"/>
              <a:ea typeface="Calibri"/>
              <a:cs typeface="Calibri"/>
            </a:rPr>
            <a:pPr algn="l"/>
            <a:t> $10,70,942.3 </a:t>
          </a:fld>
          <a:endParaRPr lang="en-IN" sz="1100" b="1">
            <a:solidFill>
              <a:srgbClr val="EAEAEA"/>
            </a:solidFill>
            <a:effectLst>
              <a:outerShdw blurRad="50800" dist="38100" dir="2700000" algn="tl" rotWithShape="0">
                <a:prstClr val="black">
                  <a:alpha val="40000"/>
                </a:prstClr>
              </a:outerShdw>
            </a:effectLst>
          </a:endParaRPr>
        </a:p>
      </xdr:txBody>
    </xdr:sp>
    <xdr:clientData/>
  </xdr:twoCellAnchor>
  <xdr:twoCellAnchor>
    <xdr:from>
      <xdr:col>1</xdr:col>
      <xdr:colOff>11460</xdr:colOff>
      <xdr:row>6</xdr:row>
      <xdr:rowOff>57294</xdr:rowOff>
    </xdr:from>
    <xdr:to>
      <xdr:col>2</xdr:col>
      <xdr:colOff>148963</xdr:colOff>
      <xdr:row>6</xdr:row>
      <xdr:rowOff>148963</xdr:rowOff>
    </xdr:to>
    <xdr:sp macro="" textlink="">
      <xdr:nvSpPr>
        <xdr:cNvPr id="12" name="TextBox 11">
          <a:extLst>
            <a:ext uri="{FF2B5EF4-FFF2-40B4-BE49-F238E27FC236}">
              <a16:creationId xmlns:a16="http://schemas.microsoft.com/office/drawing/2014/main" id="{B16DCA8D-6B90-99E9-53F6-0C4B133F03A3}"/>
            </a:ext>
          </a:extLst>
        </xdr:cNvPr>
        <xdr:cNvSpPr txBox="1"/>
      </xdr:nvSpPr>
      <xdr:spPr>
        <a:xfrm>
          <a:off x="618768" y="1157324"/>
          <a:ext cx="744812" cy="91669"/>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IN" sz="700" b="1">
              <a:solidFill>
                <a:srgbClr val="EAEAEA"/>
              </a:solidFill>
            </a:rPr>
            <a:t>TOTAL</a:t>
          </a:r>
          <a:r>
            <a:rPr lang="en-IN" sz="800" b="1">
              <a:solidFill>
                <a:srgbClr val="EAEAEA"/>
              </a:solidFill>
            </a:rPr>
            <a:t> SALES</a:t>
          </a:r>
        </a:p>
      </xdr:txBody>
    </xdr:sp>
    <xdr:clientData/>
  </xdr:twoCellAnchor>
  <xdr:twoCellAnchor>
    <xdr:from>
      <xdr:col>0</xdr:col>
      <xdr:colOff>469812</xdr:colOff>
      <xdr:row>9</xdr:row>
      <xdr:rowOff>0</xdr:rowOff>
    </xdr:from>
    <xdr:to>
      <xdr:col>2</xdr:col>
      <xdr:colOff>302612</xdr:colOff>
      <xdr:row>11</xdr:row>
      <xdr:rowOff>64072</xdr:rowOff>
    </xdr:to>
    <xdr:sp macro="" textlink="Pivot!G3">
      <xdr:nvSpPr>
        <xdr:cNvPr id="14" name="Rectangle: Rounded Corners 13">
          <a:extLst>
            <a:ext uri="{FF2B5EF4-FFF2-40B4-BE49-F238E27FC236}">
              <a16:creationId xmlns:a16="http://schemas.microsoft.com/office/drawing/2014/main" id="{F93E1FAA-A2FA-4816-BE3B-EF95FE9AE5AD}"/>
            </a:ext>
          </a:extLst>
        </xdr:cNvPr>
        <xdr:cNvSpPr/>
      </xdr:nvSpPr>
      <xdr:spPr>
        <a:xfrm>
          <a:off x="469812" y="1650045"/>
          <a:ext cx="1047417" cy="430749"/>
        </a:xfrm>
        <a:prstGeom prst="roundRect">
          <a:avLst/>
        </a:prstGeom>
        <a:solidFill>
          <a:srgbClr val="FFB4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4CBC4E93-94FF-45A3-8376-C6DFC1E25FBC}" type="TxLink">
            <a:rPr lang="en-US" sz="1100" b="1" i="0" u="none" strike="noStrike">
              <a:solidFill>
                <a:srgbClr val="EAEAEA"/>
              </a:solidFill>
              <a:effectLst>
                <a:outerShdw blurRad="50800" dist="38100" dir="2700000" algn="tl" rotWithShape="0">
                  <a:prstClr val="black">
                    <a:alpha val="40000"/>
                  </a:prstClr>
                </a:outerShdw>
              </a:effectLst>
              <a:latin typeface="Calibri"/>
              <a:ea typeface="Calibri"/>
              <a:cs typeface="Calibri"/>
            </a:rPr>
            <a:pPr algn="l"/>
            <a:t> $7,05,789.9 </a:t>
          </a:fld>
          <a:endParaRPr lang="en-IN" sz="1100" b="1">
            <a:solidFill>
              <a:srgbClr val="EAEAEA"/>
            </a:solidFill>
            <a:effectLst>
              <a:outerShdw blurRad="50800" dist="38100" dir="2700000" algn="tl" rotWithShape="0">
                <a:prstClr val="black">
                  <a:alpha val="40000"/>
                </a:prstClr>
              </a:outerShdw>
            </a:effectLst>
          </a:endParaRPr>
        </a:p>
      </xdr:txBody>
    </xdr:sp>
    <xdr:clientData/>
  </xdr:twoCellAnchor>
  <xdr:twoCellAnchor>
    <xdr:from>
      <xdr:col>0</xdr:col>
      <xdr:colOff>532827</xdr:colOff>
      <xdr:row>9</xdr:row>
      <xdr:rowOff>28647</xdr:rowOff>
    </xdr:from>
    <xdr:to>
      <xdr:col>2</xdr:col>
      <xdr:colOff>269278</xdr:colOff>
      <xdr:row>9</xdr:row>
      <xdr:rowOff>166150</xdr:rowOff>
    </xdr:to>
    <xdr:sp macro="" textlink="">
      <xdr:nvSpPr>
        <xdr:cNvPr id="15" name="TextBox 14">
          <a:extLst>
            <a:ext uri="{FF2B5EF4-FFF2-40B4-BE49-F238E27FC236}">
              <a16:creationId xmlns:a16="http://schemas.microsoft.com/office/drawing/2014/main" id="{EC633B6E-00B9-4AB1-A8EA-553EF07F8E34}"/>
            </a:ext>
          </a:extLst>
        </xdr:cNvPr>
        <xdr:cNvSpPr txBox="1"/>
      </xdr:nvSpPr>
      <xdr:spPr>
        <a:xfrm>
          <a:off x="532827" y="1678692"/>
          <a:ext cx="951068" cy="137503"/>
        </a:xfrm>
        <a:prstGeom prst="rect">
          <a:avLst/>
        </a:prstGeom>
        <a:solidFill>
          <a:srgbClr val="FFB4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700" b="1">
              <a:solidFill>
                <a:srgbClr val="EAEAEA"/>
              </a:solidFill>
            </a:rPr>
            <a:t>TOTAL REVENUE</a:t>
          </a:r>
          <a:endParaRPr lang="en-IN" sz="800" b="1">
            <a:solidFill>
              <a:srgbClr val="EAEAEA"/>
            </a:solidFill>
          </a:endParaRPr>
        </a:p>
      </xdr:txBody>
    </xdr:sp>
    <xdr:clientData/>
  </xdr:twoCellAnchor>
  <xdr:twoCellAnchor>
    <xdr:from>
      <xdr:col>0</xdr:col>
      <xdr:colOff>481270</xdr:colOff>
      <xdr:row>12</xdr:row>
      <xdr:rowOff>0</xdr:rowOff>
    </xdr:from>
    <xdr:to>
      <xdr:col>2</xdr:col>
      <xdr:colOff>314070</xdr:colOff>
      <xdr:row>14</xdr:row>
      <xdr:rowOff>64072</xdr:rowOff>
    </xdr:to>
    <xdr:sp macro="" textlink="Pivot!F3">
      <xdr:nvSpPr>
        <xdr:cNvPr id="16" name="Rectangle: Rounded Corners 15">
          <a:extLst>
            <a:ext uri="{FF2B5EF4-FFF2-40B4-BE49-F238E27FC236}">
              <a16:creationId xmlns:a16="http://schemas.microsoft.com/office/drawing/2014/main" id="{A126F0F1-BA17-43E8-85AD-7ECDFEED6062}"/>
            </a:ext>
          </a:extLst>
        </xdr:cNvPr>
        <xdr:cNvSpPr/>
      </xdr:nvSpPr>
      <xdr:spPr>
        <a:xfrm>
          <a:off x="481270" y="2200060"/>
          <a:ext cx="1047417" cy="430749"/>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34C50DF-FDEE-496B-9F3F-50F60B4E988D}" type="TxLink">
            <a:rPr lang="en-US" sz="1100" b="1" i="0" u="none" strike="noStrike">
              <a:solidFill>
                <a:srgbClr val="EAEAEA"/>
              </a:solidFill>
              <a:effectLst>
                <a:outerShdw blurRad="50800" dist="38100" dir="2700000" algn="tl" rotWithShape="0">
                  <a:prstClr val="black">
                    <a:alpha val="40000"/>
                  </a:prstClr>
                </a:outerShdw>
              </a:effectLst>
              <a:latin typeface="Calibri"/>
              <a:ea typeface="Calibri"/>
              <a:cs typeface="Calibri"/>
            </a:rPr>
            <a:pPr algn="ctr"/>
            <a:t> $1,411.6 </a:t>
          </a:fld>
          <a:endParaRPr lang="en-IN" sz="1100" b="1">
            <a:solidFill>
              <a:srgbClr val="EAEAEA"/>
            </a:solidFill>
            <a:effectLst>
              <a:outerShdw blurRad="50800" dist="38100" dir="2700000" algn="tl" rotWithShape="0">
                <a:prstClr val="black">
                  <a:alpha val="40000"/>
                </a:prstClr>
              </a:outerShdw>
            </a:effectLst>
          </a:endParaRPr>
        </a:p>
      </xdr:txBody>
    </xdr:sp>
    <xdr:clientData/>
  </xdr:twoCellAnchor>
  <xdr:twoCellAnchor>
    <xdr:from>
      <xdr:col>0</xdr:col>
      <xdr:colOff>515639</xdr:colOff>
      <xdr:row>12</xdr:row>
      <xdr:rowOff>51564</xdr:rowOff>
    </xdr:from>
    <xdr:to>
      <xdr:col>2</xdr:col>
      <xdr:colOff>297924</xdr:colOff>
      <xdr:row>12</xdr:row>
      <xdr:rowOff>166151</xdr:rowOff>
    </xdr:to>
    <xdr:sp macro="" textlink="">
      <xdr:nvSpPr>
        <xdr:cNvPr id="17" name="TextBox 16">
          <a:extLst>
            <a:ext uri="{FF2B5EF4-FFF2-40B4-BE49-F238E27FC236}">
              <a16:creationId xmlns:a16="http://schemas.microsoft.com/office/drawing/2014/main" id="{B7AC514C-1A8E-422B-9CF5-FB829D638027}"/>
            </a:ext>
          </a:extLst>
        </xdr:cNvPr>
        <xdr:cNvSpPr txBox="1"/>
      </xdr:nvSpPr>
      <xdr:spPr>
        <a:xfrm>
          <a:off x="515639" y="2251624"/>
          <a:ext cx="996902" cy="114587"/>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700" b="1">
              <a:solidFill>
                <a:srgbClr val="EAEAEA"/>
              </a:solidFill>
            </a:rPr>
            <a:t>AVG</a:t>
          </a:r>
          <a:r>
            <a:rPr lang="en-IN" sz="700" b="1" baseline="0">
              <a:solidFill>
                <a:srgbClr val="EAEAEA"/>
              </a:solidFill>
            </a:rPr>
            <a:t> ORDER VALUE</a:t>
          </a:r>
          <a:endParaRPr lang="en-IN" sz="800" b="1">
            <a:solidFill>
              <a:srgbClr val="EAEAEA"/>
            </a:solidFill>
          </a:endParaRPr>
        </a:p>
      </xdr:txBody>
    </xdr:sp>
    <xdr:clientData/>
  </xdr:twoCellAnchor>
  <xdr:twoCellAnchor>
    <xdr:from>
      <xdr:col>2</xdr:col>
      <xdr:colOff>378128</xdr:colOff>
      <xdr:row>5</xdr:row>
      <xdr:rowOff>160421</xdr:rowOff>
    </xdr:from>
    <xdr:to>
      <xdr:col>4</xdr:col>
      <xdr:colOff>292196</xdr:colOff>
      <xdr:row>8</xdr:row>
      <xdr:rowOff>41155</xdr:rowOff>
    </xdr:to>
    <xdr:sp macro="" textlink="Pivot!J3">
      <xdr:nvSpPr>
        <xdr:cNvPr id="18" name="Rectangle: Rounded Corners 17">
          <a:extLst>
            <a:ext uri="{FF2B5EF4-FFF2-40B4-BE49-F238E27FC236}">
              <a16:creationId xmlns:a16="http://schemas.microsoft.com/office/drawing/2014/main" id="{47BA8F68-E27F-48EF-A1D9-05334D72274C}"/>
            </a:ext>
          </a:extLst>
        </xdr:cNvPr>
        <xdr:cNvSpPr/>
      </xdr:nvSpPr>
      <xdr:spPr>
        <a:xfrm>
          <a:off x="1592745" y="1077113"/>
          <a:ext cx="1128684" cy="430749"/>
        </a:xfrm>
        <a:prstGeom prst="roundRect">
          <a:avLst/>
        </a:prstGeom>
        <a:solidFill>
          <a:srgbClr val="FFB4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4C0B663-D127-47FD-94D8-62A1B1920F80}" type="TxLink">
            <a:rPr lang="en-US" sz="1100" b="1" i="0" u="none" strike="noStrike">
              <a:solidFill>
                <a:srgbClr val="EAEAEA"/>
              </a:solidFill>
              <a:effectLst>
                <a:outerShdw blurRad="50800" dist="38100" dir="2700000" algn="tl" rotWithShape="0">
                  <a:prstClr val="black">
                    <a:alpha val="40000"/>
                  </a:prstClr>
                </a:outerShdw>
              </a:effectLst>
              <a:latin typeface="Calibri"/>
              <a:ea typeface="Calibri"/>
              <a:cs typeface="Calibri"/>
            </a:rPr>
            <a:pPr algn="ctr"/>
            <a:t>92%</a:t>
          </a:fld>
          <a:endParaRPr lang="en-IN" sz="1100" b="1">
            <a:solidFill>
              <a:srgbClr val="EAEAEA"/>
            </a:solidFill>
            <a:effectLst>
              <a:outerShdw blurRad="50800" dist="38100" dir="2700000" algn="tl" rotWithShape="0">
                <a:prstClr val="black">
                  <a:alpha val="40000"/>
                </a:prstClr>
              </a:outerShdw>
            </a:effectLst>
          </a:endParaRPr>
        </a:p>
      </xdr:txBody>
    </xdr:sp>
    <xdr:clientData/>
  </xdr:twoCellAnchor>
  <xdr:twoCellAnchor>
    <xdr:from>
      <xdr:col>2</xdr:col>
      <xdr:colOff>412510</xdr:colOff>
      <xdr:row>6</xdr:row>
      <xdr:rowOff>22917</xdr:rowOff>
    </xdr:from>
    <xdr:to>
      <xdr:col>4</xdr:col>
      <xdr:colOff>252089</xdr:colOff>
      <xdr:row>6</xdr:row>
      <xdr:rowOff>154692</xdr:rowOff>
    </xdr:to>
    <xdr:sp macro="" textlink="">
      <xdr:nvSpPr>
        <xdr:cNvPr id="19" name="TextBox 18">
          <a:extLst>
            <a:ext uri="{FF2B5EF4-FFF2-40B4-BE49-F238E27FC236}">
              <a16:creationId xmlns:a16="http://schemas.microsoft.com/office/drawing/2014/main" id="{B471D1A8-F320-4D52-80B2-2A7A3B2D40AF}"/>
            </a:ext>
          </a:extLst>
        </xdr:cNvPr>
        <xdr:cNvSpPr txBox="1"/>
      </xdr:nvSpPr>
      <xdr:spPr>
        <a:xfrm>
          <a:off x="1627127" y="1122947"/>
          <a:ext cx="1054195" cy="131775"/>
        </a:xfrm>
        <a:prstGeom prst="rect">
          <a:avLst/>
        </a:prstGeom>
        <a:solidFill>
          <a:srgbClr val="FFB4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800" b="1">
              <a:solidFill>
                <a:srgbClr val="EAEAEA"/>
              </a:solidFill>
            </a:rPr>
            <a:t>Customer</a:t>
          </a:r>
          <a:r>
            <a:rPr lang="en-IN" sz="800" b="1" baseline="0">
              <a:solidFill>
                <a:srgbClr val="EAEAEA"/>
              </a:solidFill>
            </a:rPr>
            <a:t> Repeat %</a:t>
          </a:r>
          <a:endParaRPr lang="en-IN" sz="900" b="1">
            <a:solidFill>
              <a:srgbClr val="EAEAEA"/>
            </a:solidFill>
          </a:endParaRPr>
        </a:p>
      </xdr:txBody>
    </xdr:sp>
    <xdr:clientData/>
  </xdr:twoCellAnchor>
  <xdr:twoCellAnchor editAs="oneCell">
    <xdr:from>
      <xdr:col>0</xdr:col>
      <xdr:colOff>486999</xdr:colOff>
      <xdr:row>16</xdr:row>
      <xdr:rowOff>0</xdr:rowOff>
    </xdr:from>
    <xdr:to>
      <xdr:col>3</xdr:col>
      <xdr:colOff>493874</xdr:colOff>
      <xdr:row>27</xdr:row>
      <xdr:rowOff>33058</xdr:rowOff>
    </xdr:to>
    <mc:AlternateContent xmlns:mc="http://schemas.openxmlformats.org/markup-compatibility/2006" xmlns:a14="http://schemas.microsoft.com/office/drawing/2010/main">
      <mc:Choice Requires="a14">
        <xdr:graphicFrame macro="">
          <xdr:nvGraphicFramePr>
            <xdr:cNvPr id="20" name="Months (Order_Date)">
              <a:extLst>
                <a:ext uri="{FF2B5EF4-FFF2-40B4-BE49-F238E27FC236}">
                  <a16:creationId xmlns:a16="http://schemas.microsoft.com/office/drawing/2014/main" id="{5199350C-73D3-4BC7-B9EF-F6E484F70BB6}"/>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486999" y="2844800"/>
              <a:ext cx="1835675" cy="1988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2887</xdr:colOff>
      <xdr:row>0</xdr:row>
      <xdr:rowOff>7435</xdr:rowOff>
    </xdr:from>
    <xdr:ext cx="13217813" cy="937629"/>
    <xdr:sp macro="" textlink="">
      <xdr:nvSpPr>
        <xdr:cNvPr id="21" name="Rectangle 20">
          <a:extLst>
            <a:ext uri="{FF2B5EF4-FFF2-40B4-BE49-F238E27FC236}">
              <a16:creationId xmlns:a16="http://schemas.microsoft.com/office/drawing/2014/main" id="{F475B617-E252-DAD3-B1DB-75107C9D9CF5}"/>
            </a:ext>
          </a:extLst>
        </xdr:cNvPr>
        <xdr:cNvSpPr/>
      </xdr:nvSpPr>
      <xdr:spPr>
        <a:xfrm>
          <a:off x="2887" y="7435"/>
          <a:ext cx="13217813" cy="937629"/>
        </a:xfrm>
        <a:prstGeom prst="rect">
          <a:avLst/>
        </a:prstGeom>
        <a:noFill/>
      </xdr:spPr>
      <xdr:txBody>
        <a:bodyPr wrap="square" lIns="91440" tIns="45720" rIns="91440" bIns="45720">
          <a:spAutoFit/>
        </a:bodyPr>
        <a:lstStyle/>
        <a:p>
          <a:pPr algn="ctr"/>
          <a:r>
            <a:rPr lang="en-IN" sz="5400" b="0" cap="none" spc="0">
              <a:ln w="0"/>
              <a:solidFill>
                <a:schemeClr val="accent1"/>
              </a:solidFill>
              <a:effectLst>
                <a:outerShdw blurRad="50800" dist="38100" dir="2700000" algn="tl" rotWithShape="0">
                  <a:prstClr val="black">
                    <a:alpha val="40000"/>
                  </a:prstClr>
                </a:outerShdw>
              </a:effectLst>
            </a:rPr>
            <a:t>CommerceFlow – Sales &amp; Delivery Overview</a:t>
          </a:r>
          <a:endParaRPr lang="en-US" sz="5400" b="0" cap="none" spc="0">
            <a:ln w="0"/>
            <a:solidFill>
              <a:schemeClr val="accent1"/>
            </a:solidFill>
            <a:effectLst>
              <a:outerShdw blurRad="50800" dist="38100" dir="2700000" algn="tl" rotWithShape="0">
                <a:prstClr val="black">
                  <a:alpha val="40000"/>
                </a:prstClr>
              </a:outerShdw>
            </a:effectLst>
          </a:endParaRPr>
        </a:p>
      </xdr:txBody>
    </xdr:sp>
    <xdr:clientData/>
  </xdr:oneCellAnchor>
  <xdr:twoCellAnchor>
    <xdr:from>
      <xdr:col>2</xdr:col>
      <xdr:colOff>375844</xdr:colOff>
      <xdr:row>9</xdr:row>
      <xdr:rowOff>10298</xdr:rowOff>
    </xdr:from>
    <xdr:to>
      <xdr:col>4</xdr:col>
      <xdr:colOff>208644</xdr:colOff>
      <xdr:row>11</xdr:row>
      <xdr:rowOff>76383</xdr:rowOff>
    </xdr:to>
    <xdr:sp macro="" textlink="Pivot!H3">
      <xdr:nvSpPr>
        <xdr:cNvPr id="7" name="Rectangle: Rounded Corners 6">
          <a:extLst>
            <a:ext uri="{FF2B5EF4-FFF2-40B4-BE49-F238E27FC236}">
              <a16:creationId xmlns:a16="http://schemas.microsoft.com/office/drawing/2014/main" id="{141A19E9-61FD-44A1-ADF2-ED3F372D2A90}"/>
            </a:ext>
          </a:extLst>
        </xdr:cNvPr>
        <xdr:cNvSpPr/>
      </xdr:nvSpPr>
      <xdr:spPr>
        <a:xfrm>
          <a:off x="1590925" y="1678460"/>
          <a:ext cx="1047881" cy="436788"/>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6DE8F08-A54A-4BD8-A461-FD5F6385CC3E}" type="TxLink">
            <a:rPr lang="en-US" sz="1100" b="0" i="0" u="none" strike="noStrike">
              <a:solidFill>
                <a:srgbClr val="EAEAEA"/>
              </a:solidFill>
              <a:effectLst>
                <a:outerShdw blurRad="50800" dist="38100" dir="2700000" algn="tl" rotWithShape="0">
                  <a:prstClr val="black">
                    <a:alpha val="40000"/>
                  </a:prstClr>
                </a:outerShdw>
              </a:effectLst>
              <a:latin typeface="Calibri"/>
              <a:ea typeface="Calibri"/>
              <a:cs typeface="Calibri"/>
            </a:rPr>
            <a:pPr algn="ctr"/>
            <a:t>18%</a:t>
          </a:fld>
          <a:endParaRPr lang="en-IN" sz="1100" b="1">
            <a:solidFill>
              <a:srgbClr val="EAEAEA"/>
            </a:solidFill>
            <a:effectLst>
              <a:outerShdw blurRad="50800" dist="38100" dir="2700000" algn="tl" rotWithShape="0">
                <a:prstClr val="black">
                  <a:alpha val="40000"/>
                </a:prstClr>
              </a:outerShdw>
            </a:effectLst>
          </a:endParaRPr>
        </a:p>
      </xdr:txBody>
    </xdr:sp>
    <xdr:clientData/>
  </xdr:twoCellAnchor>
  <xdr:twoCellAnchor>
    <xdr:from>
      <xdr:col>2</xdr:col>
      <xdr:colOff>566344</xdr:colOff>
      <xdr:row>9</xdr:row>
      <xdr:rowOff>66933</xdr:rowOff>
    </xdr:from>
    <xdr:to>
      <xdr:col>4</xdr:col>
      <xdr:colOff>96306</xdr:colOff>
      <xdr:row>9</xdr:row>
      <xdr:rowOff>158602</xdr:rowOff>
    </xdr:to>
    <xdr:sp macro="" textlink="">
      <xdr:nvSpPr>
        <xdr:cNvPr id="11" name="TextBox 10">
          <a:extLst>
            <a:ext uri="{FF2B5EF4-FFF2-40B4-BE49-F238E27FC236}">
              <a16:creationId xmlns:a16="http://schemas.microsoft.com/office/drawing/2014/main" id="{C5DCBA5F-8A12-4458-B7C6-141F3B49861B}"/>
            </a:ext>
          </a:extLst>
        </xdr:cNvPr>
        <xdr:cNvSpPr txBox="1"/>
      </xdr:nvSpPr>
      <xdr:spPr>
        <a:xfrm>
          <a:off x="1781425" y="1735095"/>
          <a:ext cx="745043" cy="91669"/>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IN" sz="700" b="1">
              <a:solidFill>
                <a:srgbClr val="EAEAEA"/>
              </a:solidFill>
            </a:rPr>
            <a:t>RETURN</a:t>
          </a:r>
          <a:r>
            <a:rPr lang="en-IN" sz="700" b="1" baseline="0">
              <a:solidFill>
                <a:srgbClr val="EAEAEA"/>
              </a:solidFill>
            </a:rPr>
            <a:t> RATE</a:t>
          </a:r>
          <a:endParaRPr lang="en-IN" sz="800" b="1">
            <a:solidFill>
              <a:srgbClr val="EAEAEA"/>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amvir Pradhan" refreshedDate="46288.664871527777" createdVersion="8" refreshedVersion="8" minRefreshableVersion="3" recordCount="500" xr:uid="{2680681E-D62F-44FC-A5A0-C26C41D9A2B3}">
  <cacheSource type="worksheet">
    <worksheetSource name="ecommerce_orders"/>
  </cacheSource>
  <cacheFields count="18">
    <cacheField name="Order_ID" numFmtId="0">
      <sharedItems count="500">
        <s v="O0119"/>
        <s v="O0026"/>
        <s v="O0331"/>
        <s v="O0261"/>
        <s v="O0411"/>
        <s v="O0162"/>
        <s v="O0309"/>
        <s v="O0332"/>
        <s v="O0051"/>
        <s v="O0151"/>
        <s v="O0473"/>
        <s v="O0055"/>
        <s v="O0251"/>
        <s v="O0304"/>
        <s v="O0381"/>
        <s v="O0467"/>
        <s v="O0048"/>
        <s v="O0118"/>
        <s v="O0423"/>
        <s v="O0223"/>
        <s v="O0262"/>
        <s v="O0266"/>
        <s v="O0303"/>
        <s v="O0422"/>
        <s v="O0425"/>
        <s v="O0032"/>
        <s v="O0036"/>
        <s v="O0314"/>
        <s v="O0395"/>
        <s v="O0408"/>
        <s v="O0136"/>
        <s v="O0234"/>
        <s v="O0301"/>
        <s v="O0336"/>
        <s v="O0106"/>
        <s v="O0111"/>
        <s v="O0285"/>
        <s v="O0328"/>
        <s v="O0387"/>
        <s v="O0389"/>
        <s v="O0430"/>
        <s v="O0432"/>
        <s v="O0226"/>
        <s v="O0492"/>
        <s v="O0042"/>
        <s v="O0054"/>
        <s v="O0058"/>
        <s v="O0081"/>
        <s v="O0464"/>
        <s v="O0482"/>
        <s v="O0263"/>
        <s v="O0187"/>
        <s v="O0237"/>
        <s v="O0424"/>
        <s v="O0037"/>
        <s v="O0080"/>
        <s v="O0107"/>
        <s v="O0218"/>
        <s v="O0232"/>
        <s v="O0334"/>
        <s v="O0335"/>
        <s v="O0199"/>
        <s v="O0204"/>
        <s v="O0431"/>
        <s v="O0385"/>
        <s v="O0149"/>
        <s v="O0171"/>
        <s v="O0399"/>
        <s v="O0006"/>
        <s v="O0257"/>
        <s v="O0367"/>
        <s v="O0131"/>
        <s v="O0207"/>
        <s v="O0466"/>
        <s v="O0470"/>
        <s v="O0002"/>
        <s v="O0117"/>
        <s v="O0365"/>
        <s v="O0372"/>
        <s v="O0439"/>
        <s v="O0044"/>
        <s v="O0084"/>
        <s v="O0256"/>
        <s v="O0363"/>
        <s v="O0434"/>
        <s v="O0289"/>
        <s v="O0123"/>
        <s v="O0238"/>
        <s v="O0300"/>
        <s v="O0025"/>
        <s v="O0405"/>
        <s v="O0077"/>
        <s v="O0418"/>
        <s v="O0040"/>
        <s v="O0121"/>
        <s v="O0208"/>
        <s v="O0244"/>
        <s v="O0401"/>
        <s v="O0455"/>
        <s v="O0240"/>
        <s v="O0072"/>
        <s v="O0243"/>
        <s v="O0329"/>
        <s v="O0378"/>
        <s v="O0417"/>
        <s v="O0316"/>
        <s v="O0340"/>
        <s v="O0064"/>
        <s v="O0066"/>
        <s v="O0125"/>
        <s v="O0214"/>
        <s v="O0279"/>
        <s v="O0437"/>
        <s v="O0484"/>
        <s v="O0333"/>
        <s v="O0404"/>
        <s v="O0082"/>
        <s v="O0436"/>
        <s v="O0458"/>
        <s v="O0250"/>
        <s v="O0115"/>
        <s v="O0161"/>
        <s v="O0438"/>
        <s v="O0480"/>
        <s v="O0286"/>
        <s v="O0306"/>
        <s v="O0031"/>
        <s v="O0448"/>
        <s v="O0461"/>
        <s v="O0370"/>
        <s v="O0475"/>
        <s v="O0057"/>
        <s v="O0318"/>
        <s v="O0191"/>
        <s v="O0020"/>
        <s v="O0085"/>
        <s v="O0110"/>
        <s v="O0141"/>
        <s v="O0325"/>
        <s v="O0353"/>
        <s v="O0441"/>
        <s v="O0446"/>
        <s v="O0493"/>
        <s v="O0159"/>
        <s v="O0321"/>
        <s v="O0414"/>
        <s v="O0010"/>
        <s v="O0092"/>
        <s v="O0206"/>
        <s v="O0320"/>
        <s v="O0491"/>
        <s v="O0497"/>
        <s v="O0003"/>
        <s v="O0500"/>
        <s v="O0004"/>
        <s v="O0296"/>
        <s v="O0216"/>
        <s v="O0248"/>
        <s v="O0400"/>
        <s v="O0012"/>
        <s v="O0114"/>
        <s v="O0027"/>
        <s v="O0134"/>
        <s v="O0156"/>
        <s v="O0219"/>
        <s v="O0294"/>
        <s v="O0471"/>
        <s v="O0138"/>
        <s v="O0450"/>
        <s v="O0011"/>
        <s v="O0253"/>
        <s v="O0272"/>
        <s v="O0014"/>
        <s v="O0038"/>
        <s v="O0070"/>
        <s v="O0083"/>
        <s v="O0192"/>
        <s v="O0280"/>
        <s v="O0317"/>
        <s v="O0421"/>
        <s v="O0496"/>
        <s v="O0019"/>
        <s v="O0351"/>
        <s v="O0076"/>
        <s v="O0089"/>
        <s v="O0147"/>
        <s v="O0281"/>
        <s v="O0347"/>
        <s v="O0419"/>
        <s v="O0157"/>
        <s v="O0313"/>
        <s v="O0406"/>
        <s v="O0005"/>
        <s v="O0109"/>
        <s v="O0394"/>
        <s v="O0196"/>
        <s v="O0217"/>
        <s v="O0485"/>
        <s v="O0388"/>
        <s v="O0035"/>
        <s v="O0345"/>
        <s v="O0268"/>
        <s v="O0277"/>
        <s v="O0287"/>
        <s v="O0315"/>
        <s v="O0061"/>
        <s v="O0100"/>
        <s v="O0104"/>
        <s v="O0153"/>
        <s v="O0184"/>
        <s v="O0397"/>
        <s v="O0407"/>
        <s v="O0183"/>
        <s v="O0295"/>
        <s v="O0366"/>
        <s v="O0013"/>
        <s v="O0227"/>
        <s v="O0273"/>
        <s v="O0255"/>
        <s v="O0090"/>
        <s v="O0390"/>
        <s v="O0258"/>
        <s v="O0349"/>
        <s v="O0392"/>
        <s v="O0433"/>
        <s v="O0293"/>
        <s v="O0337"/>
        <s v="O0030"/>
        <s v="O0190"/>
        <s v="O0290"/>
        <s v="O0368"/>
        <s v="O0140"/>
        <s v="O0224"/>
        <s v="O0241"/>
        <s v="O0308"/>
        <s v="O0342"/>
        <s v="O0053"/>
        <s v="O0278"/>
        <s v="O0386"/>
        <s v="O0075"/>
        <s v="O0144"/>
        <s v="O0195"/>
        <s v="O0327"/>
        <s v="O0451"/>
        <s v="O0344"/>
        <s v="O0447"/>
        <s v="O0015"/>
        <s v="O0088"/>
        <s v="O0361"/>
        <s v="O0472"/>
        <s v="O0049"/>
        <s v="O0265"/>
        <s v="O0410"/>
        <s v="O0154"/>
        <s v="O0229"/>
        <s v="O0402"/>
        <s v="O0494"/>
        <s v="O0376"/>
        <s v="O0440"/>
        <s v="O0007"/>
        <s v="O0179"/>
        <s v="O0429"/>
        <s v="O0468"/>
        <s v="O0009"/>
        <s v="O0354"/>
        <s v="O0443"/>
        <s v="O0129"/>
        <s v="O0034"/>
        <s v="O0346"/>
        <s v="O0357"/>
        <s v="O0364"/>
        <s v="O0474"/>
        <s v="O0103"/>
        <s v="O0095"/>
        <s v="O0188"/>
        <s v="O0291"/>
        <s v="O0028"/>
        <s v="O0050"/>
        <s v="O0073"/>
        <s v="O0245"/>
        <s v="O0428"/>
        <s v="O0169"/>
        <s v="O0209"/>
        <s v="O0445"/>
        <s v="O0126"/>
        <s v="O0146"/>
        <s v="O0215"/>
        <s v="O0252"/>
        <s v="O0254"/>
        <s v="O0465"/>
        <s v="O0046"/>
        <s v="O0173"/>
        <s v="O0231"/>
        <s v="O0377"/>
        <s v="O0078"/>
        <s v="O0165"/>
        <s v="O0221"/>
        <s v="O0371"/>
        <s v="O0056"/>
        <s v="O0189"/>
        <s v="O0415"/>
        <s v="O0071"/>
        <s v="O0102"/>
        <s v="O0145"/>
        <s v="O0194"/>
        <s v="O0396"/>
        <s v="O0047"/>
        <s v="O0062"/>
        <s v="O0181"/>
        <s v="O0233"/>
        <s v="O0490"/>
        <s v="O0163"/>
        <s v="O0305"/>
        <s v="O0360"/>
        <s v="O0444"/>
        <s v="O0105"/>
        <s v="O0108"/>
        <s v="O0391"/>
        <s v="O0079"/>
        <s v="O0097"/>
        <s v="O0330"/>
        <s v="O0483"/>
        <s v="O0068"/>
        <s v="O0152"/>
        <s v="O0307"/>
        <s v="O0358"/>
        <s v="O0427"/>
        <s v="O0442"/>
        <s v="O0029"/>
        <s v="O0112"/>
        <s v="O0148"/>
        <s v="O0476"/>
        <s v="O0132"/>
        <s v="O0274"/>
        <s v="O0283"/>
        <s v="O0323"/>
        <s v="O0023"/>
        <s v="O0198"/>
        <s v="O0269"/>
        <s v="O0284"/>
        <s v="O0479"/>
        <s v="O0488"/>
        <s v="O0271"/>
        <s v="O0292"/>
        <s v="O0352"/>
        <s v="O0469"/>
        <s v="O0033"/>
        <s v="O0379"/>
        <s v="O0021"/>
        <s v="O0380"/>
        <s v="O0495"/>
        <s v="O0382"/>
        <s v="O0453"/>
        <s v="O0185"/>
        <s v="O0220"/>
        <s v="O0259"/>
        <s v="O0359"/>
        <s v="O0462"/>
        <s v="O0247"/>
        <s v="O0069"/>
        <s v="O0087"/>
        <s v="O0299"/>
        <s v="O0420"/>
        <s v="O0182"/>
        <s v="O0267"/>
        <s v="O0348"/>
        <s v="O0093"/>
        <s v="O0213"/>
        <s v="O0039"/>
        <s v="O0298"/>
        <s v="O0017"/>
        <s v="O0043"/>
        <s v="O0096"/>
        <s v="O0167"/>
        <s v="O0409"/>
        <s v="O0449"/>
        <s v="O0133"/>
        <s v="O0210"/>
        <s v="O0393"/>
        <s v="O0098"/>
        <s v="O0413"/>
        <s v="O0435"/>
        <s v="O0311"/>
        <s v="O0383"/>
        <s v="O0225"/>
        <s v="O0276"/>
        <s v="O0288"/>
        <s v="O0297"/>
        <s v="O0128"/>
        <s v="O0197"/>
        <s v="O0249"/>
        <s v="O0369"/>
        <s v="O0426"/>
        <s v="O0478"/>
        <s v="O0175"/>
        <s v="O0202"/>
        <s v="O0459"/>
        <s v="O0041"/>
        <s v="O0137"/>
        <s v="O0178"/>
        <s v="O0193"/>
        <s v="O0324"/>
        <s v="O0403"/>
        <s v="O0022"/>
        <s v="O0236"/>
        <s v="O0338"/>
        <s v="O0341"/>
        <s v="O0211"/>
        <s v="O0350"/>
        <s v="O0174"/>
        <s v="O0312"/>
        <s v="O0127"/>
        <s v="O0074"/>
        <s v="O0203"/>
        <s v="O0260"/>
        <s v="O0172"/>
        <s v="O0319"/>
        <s v="O0374"/>
        <s v="O0456"/>
        <s v="O0375"/>
        <s v="O0099"/>
        <s v="O0160"/>
        <s v="O0180"/>
        <s v="O0343"/>
        <s v="O0086"/>
        <s v="O0113"/>
        <s v="O0212"/>
        <s v="O0355"/>
        <s v="O0454"/>
        <s v="O0122"/>
        <s v="O0166"/>
        <s v="O0486"/>
        <s v="O0499"/>
        <s v="O0091"/>
        <s v="O0200"/>
        <s v="O0264"/>
        <s v="O0416"/>
        <s v="O0155"/>
        <s v="O0164"/>
        <s v="O0120"/>
        <s v="O0176"/>
        <s v="O0016"/>
        <s v="O0412"/>
        <s v="O0065"/>
        <s v="O0116"/>
        <s v="O0463"/>
        <s v="O0001"/>
        <s v="O0158"/>
        <s v="O0018"/>
        <s v="O0205"/>
        <s v="O0228"/>
        <s v="O0130"/>
        <s v="O0168"/>
        <s v="O0322"/>
        <s v="O0384"/>
        <s v="O0339"/>
        <s v="O0063"/>
        <s v="O0275"/>
        <s v="O0059"/>
        <s v="O0060"/>
        <s v="O0139"/>
        <s v="O0170"/>
        <s v="O0362"/>
        <s v="O0398"/>
        <s v="O0477"/>
        <s v="O0186"/>
        <s v="O0222"/>
        <s v="O0282"/>
        <s v="O0373"/>
        <s v="O0150"/>
        <s v="O0302"/>
        <s v="O0310"/>
        <s v="O0201"/>
        <s v="O0235"/>
        <s v="O0246"/>
        <s v="O0481"/>
        <s v="O0487"/>
        <s v="O0498"/>
        <s v="O0045"/>
        <s v="O0143"/>
        <s v="O0326"/>
        <s v="O0024"/>
        <s v="O0094"/>
        <s v="O0270"/>
        <s v="O0460"/>
        <s v="O0230"/>
        <s v="O0356"/>
        <s v="O0067"/>
        <s v="O0101"/>
        <s v="O0489"/>
        <s v="O0052"/>
        <s v="O0142"/>
        <s v="O0177"/>
        <s v="O0242"/>
        <s v="O0008"/>
        <s v="O0124"/>
        <s v="O0135"/>
        <s v="O0239"/>
        <s v="O0452"/>
        <s v="O0457"/>
      </sharedItems>
    </cacheField>
    <cacheField name="Order_Date" numFmtId="14">
      <sharedItems containsSemiMixedTypes="0" containsNonDate="0" containsDate="1" containsString="0" minDate="2026-01-01T00:00:00" maxDate="2026-07-01T00:00:00" count="172">
        <d v="2026-01-01T00:00:00"/>
        <d v="2026-01-02T00:00:00"/>
        <d v="2026-01-03T00:00:00"/>
        <d v="2026-01-04T00:00:00"/>
        <d v="2026-01-05T00:00:00"/>
        <d v="2026-01-07T00:00:00"/>
        <d v="2026-01-08T00:00:00"/>
        <d v="2026-01-09T00:00:00"/>
        <d v="2026-01-10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2T00:00:00"/>
        <d v="2026-03-03T00:00:00"/>
        <d v="2026-03-04T00:00:00"/>
        <d v="2026-03-05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16"/>
    </cacheField>
    <cacheField name="Customer_ID" numFmtId="0">
      <sharedItems count="99">
        <s v="C085"/>
        <s v="C010"/>
        <s v="C069"/>
        <s v="C014"/>
        <s v="C034"/>
        <s v="C023"/>
        <s v="C031"/>
        <s v="C065"/>
        <s v="C080"/>
        <s v="C027"/>
        <s v="C015"/>
        <s v="C011"/>
        <s v="C037"/>
        <s v="C036"/>
        <s v="C038"/>
        <s v="C048"/>
        <s v="C059"/>
        <s v="C071"/>
        <s v="C082"/>
        <s v="C052"/>
        <s v="C005"/>
        <s v="C055"/>
        <s v="C002"/>
        <s v="C084"/>
        <s v="C075"/>
        <s v="C045"/>
        <s v="C006"/>
        <s v="C079"/>
        <s v="C022"/>
        <s v="C099"/>
        <s v="C068"/>
        <s v="C073"/>
        <s v="C019"/>
        <s v="C056"/>
        <s v="C092"/>
        <s v="C040"/>
        <s v="C032"/>
        <s v="C086"/>
        <s v="C100"/>
        <s v="C012"/>
        <s v="C050"/>
        <s v="C041"/>
        <s v="C074"/>
        <s v="C024"/>
        <s v="C061"/>
        <s v="C021"/>
        <s v="C003"/>
        <s v="C042"/>
        <s v="C057"/>
        <s v="C051"/>
        <s v="C091"/>
        <s v="C046"/>
        <s v="C007"/>
        <s v="C062"/>
        <s v="C043"/>
        <s v="C087"/>
        <s v="C018"/>
        <s v="C096"/>
        <s v="C020"/>
        <s v="C060"/>
        <s v="C004"/>
        <s v="C088"/>
        <s v="C076"/>
        <s v="C077"/>
        <s v="C044"/>
        <s v="C081"/>
        <s v="C090"/>
        <s v="C097"/>
        <s v="C053"/>
        <s v="C094"/>
        <s v="C078"/>
        <s v="C033"/>
        <s v="C083"/>
        <s v="C008"/>
        <s v="C009"/>
        <s v="C025"/>
        <s v="C029"/>
        <s v="C030"/>
        <s v="C058"/>
        <s v="C067"/>
        <s v="C047"/>
        <s v="C039"/>
        <s v="C013"/>
        <s v="C064"/>
        <s v="C035"/>
        <s v="C026"/>
        <s v="C028"/>
        <s v="C049"/>
        <s v="C089"/>
        <s v="C054"/>
        <s v="C072"/>
        <s v="C001"/>
        <s v="C070"/>
        <s v="C095"/>
        <s v="C063"/>
        <s v="C093"/>
        <s v="C098"/>
        <s v="C016"/>
        <s v="C017"/>
      </sharedItems>
    </cacheField>
    <cacheField name="Category" numFmtId="0">
      <sharedItems count="4">
        <s v="Accessories"/>
        <s v="Electronics"/>
        <s v="Stationery"/>
        <s v="Home"/>
      </sharedItems>
    </cacheField>
    <cacheField name="Product" numFmtId="0">
      <sharedItems count="20">
        <s v="Phone Holder"/>
        <s v="Keyboard"/>
        <s v="Marker Set"/>
        <s v="Office Chair"/>
        <s v="Storage Box"/>
        <s v="Notebook"/>
        <s v="Desk Lamp"/>
        <s v="Water Bottle"/>
        <s v="Wireless Mouse"/>
        <s v="Cable Organizer"/>
        <s v="Headphones"/>
        <s v="Planner"/>
        <s v="Webcam"/>
        <s v="Pen Set"/>
        <s v="Backpack"/>
        <s v="USB Hub"/>
        <s v="Table Fan"/>
        <s v="File Folder"/>
        <s v="Laptop Stand"/>
        <s v="Travel Pouch"/>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99" maxValue="6499"/>
    </cacheField>
    <cacheField name="Discount" numFmtId="0">
      <sharedItems containsSemiMixedTypes="0" containsString="0" containsNumber="1" minValue="0" maxValue="0.2"/>
    </cacheField>
    <cacheField name="Region" numFmtId="0">
      <sharedItems count="4">
        <s v="South"/>
        <s v="East"/>
        <s v="West"/>
        <s v="North"/>
      </sharedItems>
    </cacheField>
    <cacheField name="Payment_Method" numFmtId="0">
      <sharedItems/>
    </cacheField>
    <cacheField name="Order_Status" numFmtId="0">
      <sharedItems count="3">
        <s v="Delivered"/>
        <s v="Cancelled"/>
        <s v="Returned"/>
      </sharedItems>
    </cacheField>
    <cacheField name="Net_Discount" numFmtId="0">
      <sharedItems containsSemiMixedTypes="0" containsString="0" containsNumber="1" minValue="0" maxValue="5199.1999999999971"/>
    </cacheField>
    <cacheField name="Gross_sales" numFmtId="0">
      <sharedItems containsSemiMixedTypes="0" containsString="0" containsNumber="1" containsInteger="1" minValue="199" maxValue="32495"/>
    </cacheField>
    <cacheField name="Net_Sales" numFmtId="0">
      <sharedItems containsSemiMixedTypes="0" containsString="0" containsNumber="1" minValue="159.20000000000002" maxValue="30870.25"/>
    </cacheField>
    <cacheField name="Revenue" numFmtId="0">
      <sharedItems containsSemiMixedTypes="0" containsString="0" containsNumber="1" minValue="0" maxValue="29245.5"/>
    </cacheField>
    <cacheField name="Days (Order_Date)" numFmtId="0" databaseField="0">
      <fieldGroup base="1">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Order_Date)" numFmtId="0" databaseField="0">
      <fieldGroup base="1">
        <rangePr groupBy="months" startDate="2026-01-01T00:00:00" endDate="2026-07-01T00:00:00"/>
        <groupItems count="14">
          <s v="&lt;01-01-2026"/>
          <s v="Jan"/>
          <s v="Feb"/>
          <s v="Mar"/>
          <s v="Apr"/>
          <s v="May"/>
          <s v="Jun"/>
          <s v="Jul"/>
          <s v="Aug"/>
          <s v="Sep"/>
          <s v="Oct"/>
          <s v="Nov"/>
          <s v="Dec"/>
          <s v="&gt;01-07-2026"/>
        </groupItems>
      </fieldGroup>
    </cacheField>
    <cacheField name="Difference" numFmtId="0" formula="(Net_Sales-Revenue) /Net_Sales" databaseField="0"/>
  </cacheFields>
  <extLst>
    <ext xmlns:x14="http://schemas.microsoft.com/office/spreadsheetml/2009/9/main" uri="{725AE2AE-9491-48be-B2B4-4EB974FC3084}">
      <x14:pivotCacheDefinition pivotCacheId="11461992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mvir Pradhan" refreshedDate="46289.320751388892" backgroundQuery="1" createdVersion="8" refreshedVersion="8" minRefreshableVersion="3" recordCount="0" supportSubquery="1" supportAdvancedDrill="1" xr:uid="{092F1ECE-7EDC-4A96-AD34-79D879483235}">
  <cacheSource type="external" connectionId="2"/>
  <cacheFields count="3">
    <cacheField name="[Customer].[Region].[Region]" caption="Region" numFmtId="0" hierarchy="1" level="1">
      <sharedItems count="4">
        <s v="East"/>
        <s v="North"/>
        <s v="South"/>
        <s v="West"/>
      </sharedItems>
    </cacheField>
    <cacheField name="[Measures].[Sum of Revenue]" caption="Sum of Revenue" numFmtId="0" hierarchy="21" level="32767"/>
    <cacheField name="[Measures].[Sum of Net_Sales]" caption="Sum of Net_Sales" numFmtId="0" hierarchy="23" level="32767"/>
  </cacheFields>
  <cacheHierarchies count="25">
    <cacheHierarchy uniqueName="[Customer].[Customer_ID]" caption="Customer_ID" attribute="1" defaultMemberUniqueName="[Customer].[Customer_ID].[All]" allUniqueName="[Customer].[Customer_ID].[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0"/>
      </fieldsUsage>
    </cacheHierarchy>
    <cacheHierarchy uniqueName="[ecommerce_orders].[Order_ID]" caption="Order_ID" attribute="1" defaultMemberUniqueName="[ecommerce_orders].[Order_ID].[All]" allUniqueName="[ecommerce_orders].[Order_ID].[All]" dimensionUniqueName="[ecommerce_orders]" displayFolder="" count="0" memberValueDatatype="130" unbalanced="0"/>
    <cacheHierarchy uniqueName="[ecommerce_orders].[Order_Date]" caption="Order_Date" attribute="1" time="1" defaultMemberUniqueName="[ecommerce_orders].[Order_Date].[All]" allUniqueName="[ecommerce_orders].[Order_Date].[All]" dimensionUniqueName="[ecommerce_orders]" displayFolder="" count="0" memberValueDatatype="7" unbalanced="0"/>
    <cacheHierarchy uniqueName="[ecommerce_orders].[Customer_ID]" caption="Customer_ID" attribute="1" defaultMemberUniqueName="[ecommerce_orders].[Customer_ID].[All]" allUniqueName="[ecommerce_orders].[Customer_ID].[All]" dimensionUniqueName="[ecommerce_orders]" displayFolder="" count="0" memberValueDatatype="130" unbalanced="0"/>
    <cacheHierarchy uniqueName="[ecommerce_orders].[Category]" caption="Category" attribute="1" defaultMemberUniqueName="[ecommerce_orders].[Category].[All]" allUniqueName="[ecommerce_orders].[Category].[All]" dimensionUniqueName="[ecommerce_orders]" displayFolder="" count="0" memberValueDatatype="130" unbalanced="0"/>
    <cacheHierarchy uniqueName="[ecommerce_orders].[Product]" caption="Product" attribute="1" defaultMemberUniqueName="[ecommerce_orders].[Product].[All]" allUniqueName="[ecommerce_orders].[Product].[All]" dimensionUniqueName="[ecommerce_orders]" displayFolder="" count="0" memberValueDatatype="130" unbalanced="0"/>
    <cacheHierarchy uniqueName="[ecommerce_orders].[Quantity]" caption="Quantity" attribute="1" defaultMemberUniqueName="[ecommerce_orders].[Quantity].[All]" allUniqueName="[ecommerce_orders].[Quantity].[All]" dimensionUniqueName="[ecommerce_orders]" displayFolder="" count="0" memberValueDatatype="20" unbalanced="0"/>
    <cacheHierarchy uniqueName="[ecommerce_orders].[Unit_Price]" caption="Unit_Price" attribute="1" defaultMemberUniqueName="[ecommerce_orders].[Unit_Price].[All]" allUniqueName="[ecommerce_orders].[Unit_Price].[All]" dimensionUniqueName="[ecommerce_orders]" displayFolder="" count="0" memberValueDatatype="20" unbalanced="0"/>
    <cacheHierarchy uniqueName="[ecommerce_orders].[Discount]" caption="Discount" attribute="1" defaultMemberUniqueName="[ecommerce_orders].[Discount].[All]" allUniqueName="[ecommerce_orders].[Discount].[All]" dimensionUniqueName="[ecommerce_orders]" displayFolder="" count="0" memberValueDatatype="5" unbalanced="0"/>
    <cacheHierarchy uniqueName="[ecommerce_orders].[Region]" caption="Region" attribute="1" defaultMemberUniqueName="[ecommerce_orders].[Region].[All]" allUniqueName="[ecommerce_orders].[Region].[All]" dimensionUniqueName="[ecommerce_orders]" displayFolder="" count="0" memberValueDatatype="130" unbalanced="0"/>
    <cacheHierarchy uniqueName="[ecommerce_orders].[Payment_Method]" caption="Payment_Method" attribute="1" defaultMemberUniqueName="[ecommerce_orders].[Payment_Method].[All]" allUniqueName="[ecommerce_orders].[Payment_Method].[All]" dimensionUniqueName="[ecommerce_orders]" displayFolder="" count="0" memberValueDatatype="130" unbalanced="0"/>
    <cacheHierarchy uniqueName="[ecommerce_orders].[Order_Status]" caption="Order_Status" attribute="1" defaultMemberUniqueName="[ecommerce_orders].[Order_Status].[All]" allUniqueName="[ecommerce_orders].[Order_Status].[All]" dimensionUniqueName="[ecommerce_orders]" displayFolder="" count="0" memberValueDatatype="130" unbalanced="0"/>
    <cacheHierarchy uniqueName="[ecommerce_orders].[Net_Discount]" caption="Net_Discount" attribute="1" defaultMemberUniqueName="[ecommerce_orders].[Net_Discount].[All]" allUniqueName="[ecommerce_orders].[Net_Discount].[All]" dimensionUniqueName="[ecommerce_orders]" displayFolder="" count="0" memberValueDatatype="5" unbalanced="0"/>
    <cacheHierarchy uniqueName="[ecommerce_orders].[Gross_sales]" caption="Gross_sales" attribute="1" defaultMemberUniqueName="[ecommerce_orders].[Gross_sales].[All]" allUniqueName="[ecommerce_orders].[Gross_sales].[All]" dimensionUniqueName="[ecommerce_orders]" displayFolder="" count="0" memberValueDatatype="20" unbalanced="0"/>
    <cacheHierarchy uniqueName="[ecommerce_orders].[Net_Sales]" caption="Net_Sales" attribute="1" defaultMemberUniqueName="[ecommerce_orders].[Net_Sales].[All]" allUniqueName="[ecommerce_orders].[Net_Sales].[All]" dimensionUniqueName="[ecommerce_orders]" displayFolder="" count="0" memberValueDatatype="5" unbalanced="0"/>
    <cacheHierarchy uniqueName="[ecommerce_orders].[Revenue]" caption="Revenue" attribute="1" defaultMemberUniqueName="[ecommerce_orders].[Revenue].[All]" allUniqueName="[ecommerce_orders].[Revenue].[All]" dimensionUniqueName="[ecommerce_orders]" displayFolder="" count="0" memberValueDatatype="5" unbalanced="0"/>
    <cacheHierarchy uniqueName="[Measures].[__XL_Count ecommerce_orders]" caption="__XL_Count ecommerce_orders" measure="1" displayFolder="" measureGroup="ecommerce_orders" count="0" hidden="1"/>
    <cacheHierarchy uniqueName="[Measures].[__XL_Count Table3]" caption="__XL_Count Table3" measure="1" displayFolder="" measureGroup="Customer" count="0" hidden="1"/>
    <cacheHierarchy uniqueName="[Measures].[__No measures defined]" caption="__No measures defined" measure="1" displayFolder="" count="0" hidden="1"/>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ecommerce_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ecommerce_orders" count="0" hidden="1">
      <extLst>
        <ext xmlns:x15="http://schemas.microsoft.com/office/spreadsheetml/2010/11/main" uri="{B97F6D7D-B522-45F9-BDA1-12C45D357490}">
          <x15:cacheHierarchy aggregatedColumn="7"/>
        </ext>
      </extLst>
    </cacheHierarchy>
    <cacheHierarchy uniqueName="[Measures].[Sum of Net_Sales]" caption="Sum of Net_Sales" measure="1" displayFolder="" measureGroup="ecommerce_orders"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ecommerce_orders" count="0" hidden="1">
      <extLst>
        <ext xmlns:x15="http://schemas.microsoft.com/office/spreadsheetml/2010/11/main" uri="{B97F6D7D-B522-45F9-BDA1-12C45D357490}">
          <x15:cacheHierarchy aggregatedColumn="2"/>
        </ext>
      </extLst>
    </cacheHierarchy>
  </cacheHierarchies>
  <kpis count="0"/>
  <dimensions count="3">
    <dimension name="Customer" uniqueName="[Customer]" caption="Customer"/>
    <dimension name="ecommerce_orders" uniqueName="[ecommerce_orders]" caption="ecommerce_orders"/>
    <dimension measure="1" name="Measures" uniqueName="[Measures]" caption="Measures"/>
  </dimensions>
  <measureGroups count="2">
    <measureGroup name="Customer" caption="Customer"/>
    <measureGroup name="ecommerce_orders" caption="ecommerce_order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mvir Pradhan" refreshedDate="46289.422472916667" backgroundQuery="1" createdVersion="8" refreshedVersion="8" minRefreshableVersion="3" recordCount="0" supportSubquery="1" supportAdvancedDrill="1" xr:uid="{C3A2FE8D-8648-4FF3-8FD3-65FCC7554557}">
  <cacheSource type="external" connectionId="2"/>
  <cacheFields count="4">
    <cacheField name="[Customer].[Region].[Region]" caption="Region" numFmtId="0" hierarchy="1" level="1">
      <sharedItems count="4">
        <s v="East"/>
        <s v="North"/>
        <s v="South"/>
        <s v="West"/>
      </sharedItems>
    </cacheField>
    <cacheField name="[Measures].[Count of Customer_ID]" caption="Count of Customer_ID" numFmtId="0" hierarchy="20" level="32767"/>
    <cacheField name="[Measures].[Sum of Revenue]" caption="Sum of Revenue" numFmtId="0" hierarchy="21" level="32767"/>
    <cacheField name="[Measures].[Sum of Quantity]" caption="Sum of Quantity" numFmtId="0" hierarchy="22" level="32767"/>
  </cacheFields>
  <cacheHierarchies count="25">
    <cacheHierarchy uniqueName="[Customer].[Customer_ID]" caption="Customer_ID" attribute="1" defaultMemberUniqueName="[Customer].[Customer_ID].[All]" allUniqueName="[Customer].[Customer_ID].[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0"/>
      </fieldsUsage>
    </cacheHierarchy>
    <cacheHierarchy uniqueName="[ecommerce_orders].[Order_ID]" caption="Order_ID" attribute="1" defaultMemberUniqueName="[ecommerce_orders].[Order_ID].[All]" allUniqueName="[ecommerce_orders].[Order_ID].[All]" dimensionUniqueName="[ecommerce_orders]" displayFolder="" count="0" memberValueDatatype="130" unbalanced="0"/>
    <cacheHierarchy uniqueName="[ecommerce_orders].[Order_Date]" caption="Order_Date" attribute="1" time="1" defaultMemberUniqueName="[ecommerce_orders].[Order_Date].[All]" allUniqueName="[ecommerce_orders].[Order_Date].[All]" dimensionUniqueName="[ecommerce_orders]" displayFolder="" count="0" memberValueDatatype="7" unbalanced="0"/>
    <cacheHierarchy uniqueName="[ecommerce_orders].[Customer_ID]" caption="Customer_ID" attribute="1" defaultMemberUniqueName="[ecommerce_orders].[Customer_ID].[All]" allUniqueName="[ecommerce_orders].[Customer_ID].[All]" dimensionUniqueName="[ecommerce_orders]" displayFolder="" count="0" memberValueDatatype="130" unbalanced="0"/>
    <cacheHierarchy uniqueName="[ecommerce_orders].[Category]" caption="Category" attribute="1" defaultMemberUniqueName="[ecommerce_orders].[Category].[All]" allUniqueName="[ecommerce_orders].[Category].[All]" dimensionUniqueName="[ecommerce_orders]" displayFolder="" count="0" memberValueDatatype="130" unbalanced="0"/>
    <cacheHierarchy uniqueName="[ecommerce_orders].[Product]" caption="Product" attribute="1" defaultMemberUniqueName="[ecommerce_orders].[Product].[All]" allUniqueName="[ecommerce_orders].[Product].[All]" dimensionUniqueName="[ecommerce_orders]" displayFolder="" count="0" memberValueDatatype="130" unbalanced="0"/>
    <cacheHierarchy uniqueName="[ecommerce_orders].[Quantity]" caption="Quantity" attribute="1" defaultMemberUniqueName="[ecommerce_orders].[Quantity].[All]" allUniqueName="[ecommerce_orders].[Quantity].[All]" dimensionUniqueName="[ecommerce_orders]" displayFolder="" count="0" memberValueDatatype="20" unbalanced="0"/>
    <cacheHierarchy uniqueName="[ecommerce_orders].[Unit_Price]" caption="Unit_Price" attribute="1" defaultMemberUniqueName="[ecommerce_orders].[Unit_Price].[All]" allUniqueName="[ecommerce_orders].[Unit_Price].[All]" dimensionUniqueName="[ecommerce_orders]" displayFolder="" count="0" memberValueDatatype="20" unbalanced="0"/>
    <cacheHierarchy uniqueName="[ecommerce_orders].[Discount]" caption="Discount" attribute="1" defaultMemberUniqueName="[ecommerce_orders].[Discount].[All]" allUniqueName="[ecommerce_orders].[Discount].[All]" dimensionUniqueName="[ecommerce_orders]" displayFolder="" count="0" memberValueDatatype="5" unbalanced="0"/>
    <cacheHierarchy uniqueName="[ecommerce_orders].[Region]" caption="Region" attribute="1" defaultMemberUniqueName="[ecommerce_orders].[Region].[All]" allUniqueName="[ecommerce_orders].[Region].[All]" dimensionUniqueName="[ecommerce_orders]" displayFolder="" count="0" memberValueDatatype="130" unbalanced="0"/>
    <cacheHierarchy uniqueName="[ecommerce_orders].[Payment_Method]" caption="Payment_Method" attribute="1" defaultMemberUniqueName="[ecommerce_orders].[Payment_Method].[All]" allUniqueName="[ecommerce_orders].[Payment_Method].[All]" dimensionUniqueName="[ecommerce_orders]" displayFolder="" count="0" memberValueDatatype="130" unbalanced="0"/>
    <cacheHierarchy uniqueName="[ecommerce_orders].[Order_Status]" caption="Order_Status" attribute="1" defaultMemberUniqueName="[ecommerce_orders].[Order_Status].[All]" allUniqueName="[ecommerce_orders].[Order_Status].[All]" dimensionUniqueName="[ecommerce_orders]" displayFolder="" count="0" memberValueDatatype="130" unbalanced="0"/>
    <cacheHierarchy uniqueName="[ecommerce_orders].[Net_Discount]" caption="Net_Discount" attribute="1" defaultMemberUniqueName="[ecommerce_orders].[Net_Discount].[All]" allUniqueName="[ecommerce_orders].[Net_Discount].[All]" dimensionUniqueName="[ecommerce_orders]" displayFolder="" count="0" memberValueDatatype="5" unbalanced="0"/>
    <cacheHierarchy uniqueName="[ecommerce_orders].[Gross_sales]" caption="Gross_sales" attribute="1" defaultMemberUniqueName="[ecommerce_orders].[Gross_sales].[All]" allUniqueName="[ecommerce_orders].[Gross_sales].[All]" dimensionUniqueName="[ecommerce_orders]" displayFolder="" count="0" memberValueDatatype="20" unbalanced="0"/>
    <cacheHierarchy uniqueName="[ecommerce_orders].[Net_Sales]" caption="Net_Sales" attribute="1" defaultMemberUniqueName="[ecommerce_orders].[Net_Sales].[All]" allUniqueName="[ecommerce_orders].[Net_Sales].[All]" dimensionUniqueName="[ecommerce_orders]" displayFolder="" count="0" memberValueDatatype="5" unbalanced="0"/>
    <cacheHierarchy uniqueName="[ecommerce_orders].[Revenue]" caption="Revenue" attribute="1" defaultMemberUniqueName="[ecommerce_orders].[Revenue].[All]" allUniqueName="[ecommerce_orders].[Revenue].[All]" dimensionUniqueName="[ecommerce_orders]" displayFolder="" count="0" memberValueDatatype="5" unbalanced="0"/>
    <cacheHierarchy uniqueName="[Measures].[__XL_Count ecommerce_orders]" caption="__XL_Count ecommerce_orders" measure="1" displayFolder="" measureGroup="ecommerce_orders" count="0" hidden="1"/>
    <cacheHierarchy uniqueName="[Measures].[__XL_Count Table3]" caption="__XL_Count Table3" measure="1" displayFolder="" measureGroup="Customer" count="0" hidden="1"/>
    <cacheHierarchy uniqueName="[Measures].[__No measures defined]" caption="__No measures defined" measure="1" displayFolder="" count="0" hidden="1"/>
    <cacheHierarchy uniqueName="[Measures].[Count of Customer_ID]" caption="Count of Customer_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ecommerce_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ecommerce_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Net_Sales]" caption="Sum of Net_Sales" measure="1" displayFolder="" measureGroup="ecommerce_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ecommerce_orders" count="0" hidden="1">
      <extLst>
        <ext xmlns:x15="http://schemas.microsoft.com/office/spreadsheetml/2010/11/main" uri="{B97F6D7D-B522-45F9-BDA1-12C45D357490}">
          <x15:cacheHierarchy aggregatedColumn="2"/>
        </ext>
      </extLst>
    </cacheHierarchy>
  </cacheHierarchies>
  <kpis count="0"/>
  <dimensions count="3">
    <dimension name="Customer" uniqueName="[Customer]" caption="Customer"/>
    <dimension name="ecommerce_orders" uniqueName="[ecommerce_orders]" caption="ecommerce_orders"/>
    <dimension measure="1" name="Measures" uniqueName="[Measures]" caption="Measures"/>
  </dimensions>
  <measureGroups count="2">
    <measureGroup name="Customer" caption="Customer"/>
    <measureGroup name="ecommerce_orders" caption="ecommerce_order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amvir Pradhan" refreshedDate="46289.644328819442" backgroundQuery="1" createdVersion="8" refreshedVersion="8" minRefreshableVersion="3" recordCount="0" supportSubquery="1" supportAdvancedDrill="1" xr:uid="{F2F1A9EE-7AF9-4797-91C9-A35DF3E56BF5}">
  <cacheSource type="external" connectionId="2"/>
  <cacheFields count="3">
    <cacheField name="[Customer].[Region].[Region]" caption="Region" numFmtId="0" hierarchy="1" level="1">
      <sharedItems count="4">
        <s v="East"/>
        <s v="North"/>
        <s v="South"/>
        <s v="West"/>
      </sharedItems>
    </cacheField>
    <cacheField name="[Measures].[Sum of Revenue]" caption="Sum of Revenue" numFmtId="0" hierarchy="21" level="32767"/>
    <cacheField name="[Measures].[Count of Order_ID]" caption="Count of Order_ID" numFmtId="0" hierarchy="24" level="32767"/>
  </cacheFields>
  <cacheHierarchies count="25">
    <cacheHierarchy uniqueName="[Customer].[Customer_ID]" caption="Customer_ID" attribute="1" defaultMemberUniqueName="[Customer].[Customer_ID].[All]" allUniqueName="[Customer].[Customer_ID].[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0"/>
      </fieldsUsage>
    </cacheHierarchy>
    <cacheHierarchy uniqueName="[ecommerce_orders].[Order_ID]" caption="Order_ID" attribute="1" defaultMemberUniqueName="[ecommerce_orders].[Order_ID].[All]" allUniqueName="[ecommerce_orders].[Order_ID].[All]" dimensionUniqueName="[ecommerce_orders]" displayFolder="" count="2" memberValueDatatype="130" unbalanced="0"/>
    <cacheHierarchy uniqueName="[ecommerce_orders].[Order_Date]" caption="Order_Date" attribute="1" time="1" defaultMemberUniqueName="[ecommerce_orders].[Order_Date].[All]" allUniqueName="[ecommerce_orders].[Order_Date].[All]" dimensionUniqueName="[ecommerce_orders]" displayFolder="" count="0" memberValueDatatype="7" unbalanced="0"/>
    <cacheHierarchy uniqueName="[ecommerce_orders].[Customer_ID]" caption="Customer_ID" attribute="1" defaultMemberUniqueName="[ecommerce_orders].[Customer_ID].[All]" allUniqueName="[ecommerce_orders].[Customer_ID].[All]" dimensionUniqueName="[ecommerce_orders]" displayFolder="" count="0" memberValueDatatype="130" unbalanced="0"/>
    <cacheHierarchy uniqueName="[ecommerce_orders].[Category]" caption="Category" attribute="1" defaultMemberUniqueName="[ecommerce_orders].[Category].[All]" allUniqueName="[ecommerce_orders].[Category].[All]" dimensionUniqueName="[ecommerce_orders]" displayFolder="" count="0" memberValueDatatype="130" unbalanced="0"/>
    <cacheHierarchy uniqueName="[ecommerce_orders].[Product]" caption="Product" attribute="1" defaultMemberUniqueName="[ecommerce_orders].[Product].[All]" allUniqueName="[ecommerce_orders].[Product].[All]" dimensionUniqueName="[ecommerce_orders]" displayFolder="" count="0" memberValueDatatype="130" unbalanced="0"/>
    <cacheHierarchy uniqueName="[ecommerce_orders].[Quantity]" caption="Quantity" attribute="1" defaultMemberUniqueName="[ecommerce_orders].[Quantity].[All]" allUniqueName="[ecommerce_orders].[Quantity].[All]" dimensionUniqueName="[ecommerce_orders]" displayFolder="" count="0" memberValueDatatype="20" unbalanced="0"/>
    <cacheHierarchy uniqueName="[ecommerce_orders].[Unit_Price]" caption="Unit_Price" attribute="1" defaultMemberUniqueName="[ecommerce_orders].[Unit_Price].[All]" allUniqueName="[ecommerce_orders].[Unit_Price].[All]" dimensionUniqueName="[ecommerce_orders]" displayFolder="" count="0" memberValueDatatype="20" unbalanced="0"/>
    <cacheHierarchy uniqueName="[ecommerce_orders].[Discount]" caption="Discount" attribute="1" defaultMemberUniqueName="[ecommerce_orders].[Discount].[All]" allUniqueName="[ecommerce_orders].[Discount].[All]" dimensionUniqueName="[ecommerce_orders]" displayFolder="" count="0" memberValueDatatype="5" unbalanced="0"/>
    <cacheHierarchy uniqueName="[ecommerce_orders].[Region]" caption="Region" attribute="1" defaultMemberUniqueName="[ecommerce_orders].[Region].[All]" allUniqueName="[ecommerce_orders].[Region].[All]" dimensionUniqueName="[ecommerce_orders]" displayFolder="" count="0" memberValueDatatype="130" unbalanced="0"/>
    <cacheHierarchy uniqueName="[ecommerce_orders].[Payment_Method]" caption="Payment_Method" attribute="1" defaultMemberUniqueName="[ecommerce_orders].[Payment_Method].[All]" allUniqueName="[ecommerce_orders].[Payment_Method].[All]" dimensionUniqueName="[ecommerce_orders]" displayFolder="" count="0" memberValueDatatype="130" unbalanced="0"/>
    <cacheHierarchy uniqueName="[ecommerce_orders].[Order_Status]" caption="Order_Status" attribute="1" defaultMemberUniqueName="[ecommerce_orders].[Order_Status].[All]" allUniqueName="[ecommerce_orders].[Order_Status].[All]" dimensionUniqueName="[ecommerce_orders]" displayFolder="" count="0" memberValueDatatype="130" unbalanced="0"/>
    <cacheHierarchy uniqueName="[ecommerce_orders].[Net_Discount]" caption="Net_Discount" attribute="1" defaultMemberUniqueName="[ecommerce_orders].[Net_Discount].[All]" allUniqueName="[ecommerce_orders].[Net_Discount].[All]" dimensionUniqueName="[ecommerce_orders]" displayFolder="" count="0" memberValueDatatype="5" unbalanced="0"/>
    <cacheHierarchy uniqueName="[ecommerce_orders].[Gross_sales]" caption="Gross_sales" attribute="1" defaultMemberUniqueName="[ecommerce_orders].[Gross_sales].[All]" allUniqueName="[ecommerce_orders].[Gross_sales].[All]" dimensionUniqueName="[ecommerce_orders]" displayFolder="" count="0" memberValueDatatype="20" unbalanced="0"/>
    <cacheHierarchy uniqueName="[ecommerce_orders].[Net_Sales]" caption="Net_Sales" attribute="1" defaultMemberUniqueName="[ecommerce_orders].[Net_Sales].[All]" allUniqueName="[ecommerce_orders].[Net_Sales].[All]" dimensionUniqueName="[ecommerce_orders]" displayFolder="" count="0" memberValueDatatype="5" unbalanced="0"/>
    <cacheHierarchy uniqueName="[ecommerce_orders].[Revenue]" caption="Revenue" attribute="1" defaultMemberUniqueName="[ecommerce_orders].[Revenue].[All]" allUniqueName="[ecommerce_orders].[Revenue].[All]" dimensionUniqueName="[ecommerce_orders]" displayFolder="" count="0" memberValueDatatype="5" unbalanced="0"/>
    <cacheHierarchy uniqueName="[Measures].[__XL_Count ecommerce_orders]" caption="__XL_Count ecommerce_orders" measure="1" displayFolder="" measureGroup="ecommerce_orders" count="0" hidden="1"/>
    <cacheHierarchy uniqueName="[Measures].[__XL_Count Table3]" caption="__XL_Count Table3" measure="1" displayFolder="" measureGroup="Customer" count="0" hidden="1"/>
    <cacheHierarchy uniqueName="[Measures].[__No measures defined]" caption="__No measures defined" measure="1" displayFolder="" count="0" hidden="1"/>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ecommerce_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ecommerce_orders" count="0" hidden="1">
      <extLst>
        <ext xmlns:x15="http://schemas.microsoft.com/office/spreadsheetml/2010/11/main" uri="{B97F6D7D-B522-45F9-BDA1-12C45D357490}">
          <x15:cacheHierarchy aggregatedColumn="7"/>
        </ext>
      </extLst>
    </cacheHierarchy>
    <cacheHierarchy uniqueName="[Measures].[Sum of Net_Sales]" caption="Sum of Net_Sales" measure="1" displayFolder="" measureGroup="ecommerce_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ecommerce_orders"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3">
    <dimension name="Customer" uniqueName="[Customer]" caption="Customer"/>
    <dimension name="ecommerce_orders" uniqueName="[ecommerce_orders]" caption="ecommerce_orders"/>
    <dimension measure="1" name="Measures" uniqueName="[Measures]" caption="Measures"/>
  </dimensions>
  <measureGroups count="2">
    <measureGroup name="Customer" caption="Customer"/>
    <measureGroup name="ecommerce_orders" caption="ecommerce_order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2"/>
    <n v="499"/>
    <n v="0"/>
    <x v="0"/>
    <s v="Cash on Delivery"/>
    <x v="0"/>
    <n v="0"/>
    <n v="998"/>
    <n v="998"/>
    <n v="998"/>
  </r>
  <r>
    <x v="1"/>
    <x v="1"/>
    <x v="1"/>
    <x v="1"/>
    <x v="1"/>
    <n v="1"/>
    <n v="1299"/>
    <n v="0"/>
    <x v="1"/>
    <s v="UPI"/>
    <x v="1"/>
    <n v="0"/>
    <n v="1299"/>
    <n v="1299"/>
    <n v="0"/>
  </r>
  <r>
    <x v="2"/>
    <x v="1"/>
    <x v="2"/>
    <x v="0"/>
    <x v="0"/>
    <n v="1"/>
    <n v="499"/>
    <n v="0"/>
    <x v="1"/>
    <s v="Cash on Delivery"/>
    <x v="0"/>
    <n v="0"/>
    <n v="499"/>
    <n v="499"/>
    <n v="499"/>
  </r>
  <r>
    <x v="3"/>
    <x v="2"/>
    <x v="3"/>
    <x v="2"/>
    <x v="2"/>
    <n v="1"/>
    <n v="349"/>
    <n v="0.1"/>
    <x v="1"/>
    <s v="Net Banking"/>
    <x v="0"/>
    <n v="34.899999999999977"/>
    <n v="349"/>
    <n v="314.10000000000002"/>
    <n v="314.10000000000002"/>
  </r>
  <r>
    <x v="4"/>
    <x v="3"/>
    <x v="4"/>
    <x v="3"/>
    <x v="3"/>
    <n v="1"/>
    <n v="6499"/>
    <n v="0"/>
    <x v="2"/>
    <s v="Cash on Delivery"/>
    <x v="0"/>
    <n v="0"/>
    <n v="6499"/>
    <n v="6499"/>
    <n v="6499"/>
  </r>
  <r>
    <x v="5"/>
    <x v="4"/>
    <x v="5"/>
    <x v="3"/>
    <x v="4"/>
    <n v="1"/>
    <n v="499"/>
    <n v="0.15"/>
    <x v="3"/>
    <s v="UPI"/>
    <x v="0"/>
    <n v="74.850000000000023"/>
    <n v="499"/>
    <n v="424.15"/>
    <n v="424.15"/>
  </r>
  <r>
    <x v="6"/>
    <x v="4"/>
    <x v="6"/>
    <x v="3"/>
    <x v="3"/>
    <n v="1"/>
    <n v="6499"/>
    <n v="0.2"/>
    <x v="3"/>
    <s v="Net Banking"/>
    <x v="1"/>
    <n v="1299.7999999999993"/>
    <n v="6499"/>
    <n v="5199.2000000000007"/>
    <n v="0"/>
  </r>
  <r>
    <x v="7"/>
    <x v="4"/>
    <x v="7"/>
    <x v="2"/>
    <x v="2"/>
    <n v="3"/>
    <n v="349"/>
    <n v="0.05"/>
    <x v="3"/>
    <s v="UPI"/>
    <x v="1"/>
    <n v="52.350000000000023"/>
    <n v="1047"/>
    <n v="994.65"/>
    <n v="0"/>
  </r>
  <r>
    <x v="8"/>
    <x v="5"/>
    <x v="5"/>
    <x v="2"/>
    <x v="5"/>
    <n v="3"/>
    <n v="199"/>
    <n v="0.15"/>
    <x v="0"/>
    <s v="Debit Card"/>
    <x v="0"/>
    <n v="89.550000000000011"/>
    <n v="597"/>
    <n v="507.45"/>
    <n v="507.45"/>
  </r>
  <r>
    <x v="9"/>
    <x v="5"/>
    <x v="8"/>
    <x v="0"/>
    <x v="0"/>
    <n v="1"/>
    <n v="499"/>
    <n v="0.2"/>
    <x v="0"/>
    <s v="UPI"/>
    <x v="2"/>
    <n v="99.799999999999955"/>
    <n v="499"/>
    <n v="399.20000000000005"/>
    <n v="0"/>
  </r>
  <r>
    <x v="10"/>
    <x v="5"/>
    <x v="9"/>
    <x v="3"/>
    <x v="6"/>
    <n v="2"/>
    <n v="899"/>
    <n v="0"/>
    <x v="2"/>
    <s v="UPI"/>
    <x v="0"/>
    <n v="0"/>
    <n v="1798"/>
    <n v="1798"/>
    <n v="1798"/>
  </r>
  <r>
    <x v="11"/>
    <x v="6"/>
    <x v="10"/>
    <x v="3"/>
    <x v="4"/>
    <n v="1"/>
    <n v="499"/>
    <n v="0.1"/>
    <x v="3"/>
    <s v="UPI"/>
    <x v="1"/>
    <n v="49.899999999999977"/>
    <n v="499"/>
    <n v="449.1"/>
    <n v="0"/>
  </r>
  <r>
    <x v="12"/>
    <x v="6"/>
    <x v="11"/>
    <x v="1"/>
    <x v="1"/>
    <n v="4"/>
    <n v="1299"/>
    <n v="0.2"/>
    <x v="1"/>
    <s v="Credit Card"/>
    <x v="1"/>
    <n v="1039.1999999999998"/>
    <n v="5196"/>
    <n v="4156.8"/>
    <n v="0"/>
  </r>
  <r>
    <x v="13"/>
    <x v="7"/>
    <x v="12"/>
    <x v="2"/>
    <x v="2"/>
    <n v="1"/>
    <n v="349"/>
    <n v="0.05"/>
    <x v="2"/>
    <s v="Debit Card"/>
    <x v="0"/>
    <n v="17.449999999999989"/>
    <n v="349"/>
    <n v="331.55"/>
    <n v="331.55"/>
  </r>
  <r>
    <x v="14"/>
    <x v="7"/>
    <x v="13"/>
    <x v="3"/>
    <x v="7"/>
    <n v="2"/>
    <n v="599"/>
    <n v="0.05"/>
    <x v="2"/>
    <s v="Cash on Delivery"/>
    <x v="2"/>
    <n v="59.900000000000091"/>
    <n v="1198"/>
    <n v="1138.0999999999999"/>
    <n v="0"/>
  </r>
  <r>
    <x v="15"/>
    <x v="7"/>
    <x v="14"/>
    <x v="1"/>
    <x v="8"/>
    <n v="1"/>
    <n v="799"/>
    <n v="0"/>
    <x v="3"/>
    <s v="Debit Card"/>
    <x v="0"/>
    <n v="0"/>
    <n v="799"/>
    <n v="799"/>
    <n v="799"/>
  </r>
  <r>
    <x v="16"/>
    <x v="8"/>
    <x v="15"/>
    <x v="0"/>
    <x v="9"/>
    <n v="2"/>
    <n v="299"/>
    <n v="0.15"/>
    <x v="0"/>
    <s v="UPI"/>
    <x v="0"/>
    <n v="89.699999999999989"/>
    <n v="598"/>
    <n v="508.3"/>
    <n v="508.3"/>
  </r>
  <r>
    <x v="17"/>
    <x v="8"/>
    <x v="16"/>
    <x v="1"/>
    <x v="10"/>
    <n v="1"/>
    <n v="1799"/>
    <n v="0.1"/>
    <x v="3"/>
    <s v="Net Banking"/>
    <x v="1"/>
    <n v="179.89999999999986"/>
    <n v="1799"/>
    <n v="1619.1000000000001"/>
    <n v="0"/>
  </r>
  <r>
    <x v="18"/>
    <x v="8"/>
    <x v="17"/>
    <x v="2"/>
    <x v="2"/>
    <n v="1"/>
    <n v="349"/>
    <n v="0.05"/>
    <x v="2"/>
    <s v="Debit Card"/>
    <x v="0"/>
    <n v="17.449999999999989"/>
    <n v="349"/>
    <n v="331.55"/>
    <n v="331.55"/>
  </r>
  <r>
    <x v="19"/>
    <x v="9"/>
    <x v="18"/>
    <x v="2"/>
    <x v="11"/>
    <n v="5"/>
    <n v="399"/>
    <n v="0.1"/>
    <x v="3"/>
    <s v="Debit Card"/>
    <x v="0"/>
    <n v="199.5"/>
    <n v="1995"/>
    <n v="1795.5"/>
    <n v="1795.5"/>
  </r>
  <r>
    <x v="20"/>
    <x v="9"/>
    <x v="19"/>
    <x v="1"/>
    <x v="1"/>
    <n v="2"/>
    <n v="1299"/>
    <n v="0.05"/>
    <x v="1"/>
    <s v="Cash on Delivery"/>
    <x v="0"/>
    <n v="129.90000000000009"/>
    <n v="2598"/>
    <n v="2468.1"/>
    <n v="2468.1"/>
  </r>
  <r>
    <x v="21"/>
    <x v="9"/>
    <x v="20"/>
    <x v="1"/>
    <x v="12"/>
    <n v="2"/>
    <n v="2299"/>
    <n v="0.15"/>
    <x v="2"/>
    <s v="Credit Card"/>
    <x v="1"/>
    <n v="689.70000000000027"/>
    <n v="4598"/>
    <n v="3908.2999999999997"/>
    <n v="0"/>
  </r>
  <r>
    <x v="22"/>
    <x v="9"/>
    <x v="21"/>
    <x v="2"/>
    <x v="13"/>
    <n v="2"/>
    <n v="299"/>
    <n v="0.2"/>
    <x v="3"/>
    <s v="UPI"/>
    <x v="0"/>
    <n v="119.59999999999997"/>
    <n v="598"/>
    <n v="478.40000000000003"/>
    <n v="478.40000000000003"/>
  </r>
  <r>
    <x v="23"/>
    <x v="9"/>
    <x v="22"/>
    <x v="3"/>
    <x v="7"/>
    <n v="1"/>
    <n v="599"/>
    <n v="0.1"/>
    <x v="2"/>
    <s v="Credit Card"/>
    <x v="0"/>
    <n v="59.899999999999977"/>
    <n v="599"/>
    <n v="539.1"/>
    <n v="539.1"/>
  </r>
  <r>
    <x v="24"/>
    <x v="9"/>
    <x v="19"/>
    <x v="1"/>
    <x v="10"/>
    <n v="3"/>
    <n v="1799"/>
    <n v="0.1"/>
    <x v="1"/>
    <s v="Debit Card"/>
    <x v="0"/>
    <n v="539.69999999999982"/>
    <n v="5397"/>
    <n v="4857.3"/>
    <n v="4857.3"/>
  </r>
  <r>
    <x v="25"/>
    <x v="10"/>
    <x v="23"/>
    <x v="0"/>
    <x v="0"/>
    <n v="3"/>
    <n v="499"/>
    <n v="0"/>
    <x v="0"/>
    <s v="Credit Card"/>
    <x v="0"/>
    <n v="0"/>
    <n v="1497"/>
    <n v="1497"/>
    <n v="1497"/>
  </r>
  <r>
    <x v="26"/>
    <x v="10"/>
    <x v="24"/>
    <x v="0"/>
    <x v="14"/>
    <n v="2"/>
    <n v="1499"/>
    <n v="0.2"/>
    <x v="0"/>
    <s v="UPI"/>
    <x v="1"/>
    <n v="599.59999999999991"/>
    <n v="2998"/>
    <n v="2398.4"/>
    <n v="0"/>
  </r>
  <r>
    <x v="27"/>
    <x v="10"/>
    <x v="25"/>
    <x v="2"/>
    <x v="11"/>
    <n v="3"/>
    <n v="399"/>
    <n v="0.1"/>
    <x v="2"/>
    <s v="Net Banking"/>
    <x v="0"/>
    <n v="119.70000000000005"/>
    <n v="1197"/>
    <n v="1077.3"/>
    <n v="1077.3"/>
  </r>
  <r>
    <x v="28"/>
    <x v="10"/>
    <x v="26"/>
    <x v="1"/>
    <x v="15"/>
    <n v="2"/>
    <n v="999"/>
    <n v="0.15"/>
    <x v="3"/>
    <s v="UPI"/>
    <x v="0"/>
    <n v="299.70000000000005"/>
    <n v="1998"/>
    <n v="1698.3"/>
    <n v="1698.3"/>
  </r>
  <r>
    <x v="29"/>
    <x v="11"/>
    <x v="6"/>
    <x v="0"/>
    <x v="14"/>
    <n v="1"/>
    <n v="1499"/>
    <n v="0.05"/>
    <x v="2"/>
    <s v="Cash on Delivery"/>
    <x v="0"/>
    <n v="74.950000000000045"/>
    <n v="1499"/>
    <n v="1424.05"/>
    <n v="1424.05"/>
  </r>
  <r>
    <x v="30"/>
    <x v="12"/>
    <x v="14"/>
    <x v="2"/>
    <x v="13"/>
    <n v="1"/>
    <n v="299"/>
    <n v="0.05"/>
    <x v="0"/>
    <s v="Cash on Delivery"/>
    <x v="0"/>
    <n v="14.949999999999989"/>
    <n v="299"/>
    <n v="284.05"/>
    <n v="284.05"/>
  </r>
  <r>
    <x v="31"/>
    <x v="12"/>
    <x v="1"/>
    <x v="2"/>
    <x v="11"/>
    <n v="1"/>
    <n v="399"/>
    <n v="0.05"/>
    <x v="3"/>
    <s v="Credit Card"/>
    <x v="1"/>
    <n v="19.950000000000045"/>
    <n v="399"/>
    <n v="379.04999999999995"/>
    <n v="0"/>
  </r>
  <r>
    <x v="32"/>
    <x v="12"/>
    <x v="16"/>
    <x v="1"/>
    <x v="12"/>
    <n v="2"/>
    <n v="2299"/>
    <n v="0.15"/>
    <x v="3"/>
    <s v="Cash on Delivery"/>
    <x v="0"/>
    <n v="689.70000000000027"/>
    <n v="4598"/>
    <n v="3908.2999999999997"/>
    <n v="3908.2999999999997"/>
  </r>
  <r>
    <x v="33"/>
    <x v="12"/>
    <x v="18"/>
    <x v="1"/>
    <x v="8"/>
    <n v="2"/>
    <n v="799"/>
    <n v="0"/>
    <x v="2"/>
    <s v="Net Banking"/>
    <x v="2"/>
    <n v="0"/>
    <n v="1598"/>
    <n v="1598"/>
    <n v="0"/>
  </r>
  <r>
    <x v="34"/>
    <x v="13"/>
    <x v="27"/>
    <x v="1"/>
    <x v="15"/>
    <n v="4"/>
    <n v="999"/>
    <n v="0.05"/>
    <x v="0"/>
    <s v="Debit Card"/>
    <x v="2"/>
    <n v="199.80000000000018"/>
    <n v="3996"/>
    <n v="3796.2"/>
    <n v="0"/>
  </r>
  <r>
    <x v="35"/>
    <x v="13"/>
    <x v="28"/>
    <x v="3"/>
    <x v="16"/>
    <n v="2"/>
    <n v="1599"/>
    <n v="0.2"/>
    <x v="1"/>
    <s v="Net Banking"/>
    <x v="0"/>
    <n v="639.59999999999991"/>
    <n v="3198"/>
    <n v="2558.4"/>
    <n v="2558.4"/>
  </r>
  <r>
    <x v="36"/>
    <x v="13"/>
    <x v="29"/>
    <x v="1"/>
    <x v="10"/>
    <n v="2"/>
    <n v="1799"/>
    <n v="0.05"/>
    <x v="3"/>
    <s v="Credit Card"/>
    <x v="0"/>
    <n v="179.90000000000009"/>
    <n v="3598"/>
    <n v="3418.1"/>
    <n v="3418.1"/>
  </r>
  <r>
    <x v="37"/>
    <x v="13"/>
    <x v="30"/>
    <x v="1"/>
    <x v="1"/>
    <n v="3"/>
    <n v="1299"/>
    <n v="0"/>
    <x v="3"/>
    <s v="UPI"/>
    <x v="0"/>
    <n v="0"/>
    <n v="3897"/>
    <n v="3897"/>
    <n v="3897"/>
  </r>
  <r>
    <x v="38"/>
    <x v="13"/>
    <x v="31"/>
    <x v="2"/>
    <x v="13"/>
    <n v="2"/>
    <n v="299"/>
    <n v="0.2"/>
    <x v="0"/>
    <s v="Debit Card"/>
    <x v="2"/>
    <n v="119.59999999999997"/>
    <n v="598"/>
    <n v="478.40000000000003"/>
    <n v="0"/>
  </r>
  <r>
    <x v="39"/>
    <x v="13"/>
    <x v="13"/>
    <x v="1"/>
    <x v="12"/>
    <n v="2"/>
    <n v="2299"/>
    <n v="0.05"/>
    <x v="0"/>
    <s v="Credit Card"/>
    <x v="2"/>
    <n v="229.90000000000055"/>
    <n v="4598"/>
    <n v="4368.0999999999995"/>
    <n v="0"/>
  </r>
  <r>
    <x v="40"/>
    <x v="13"/>
    <x v="32"/>
    <x v="3"/>
    <x v="4"/>
    <n v="1"/>
    <n v="499"/>
    <n v="0.05"/>
    <x v="2"/>
    <s v="Debit Card"/>
    <x v="0"/>
    <n v="24.950000000000045"/>
    <n v="499"/>
    <n v="474.04999999999995"/>
    <n v="474.04999999999995"/>
  </r>
  <r>
    <x v="41"/>
    <x v="13"/>
    <x v="33"/>
    <x v="1"/>
    <x v="12"/>
    <n v="1"/>
    <n v="2299"/>
    <n v="0.1"/>
    <x v="1"/>
    <s v="Net Banking"/>
    <x v="2"/>
    <n v="229.90000000000009"/>
    <n v="2299"/>
    <n v="2069.1"/>
    <n v="0"/>
  </r>
  <r>
    <x v="42"/>
    <x v="14"/>
    <x v="34"/>
    <x v="2"/>
    <x v="17"/>
    <n v="1"/>
    <n v="249"/>
    <n v="0.05"/>
    <x v="3"/>
    <s v="Credit Card"/>
    <x v="0"/>
    <n v="12.450000000000017"/>
    <n v="249"/>
    <n v="236.54999999999998"/>
    <n v="236.54999999999998"/>
  </r>
  <r>
    <x v="43"/>
    <x v="14"/>
    <x v="35"/>
    <x v="0"/>
    <x v="18"/>
    <n v="1"/>
    <n v="1199"/>
    <n v="0.2"/>
    <x v="3"/>
    <s v="Credit Card"/>
    <x v="0"/>
    <n v="239.79999999999995"/>
    <n v="1199"/>
    <n v="959.2"/>
    <n v="959.2"/>
  </r>
  <r>
    <x v="44"/>
    <x v="15"/>
    <x v="36"/>
    <x v="2"/>
    <x v="13"/>
    <n v="1"/>
    <n v="299"/>
    <n v="0.15"/>
    <x v="1"/>
    <s v="Cash on Delivery"/>
    <x v="2"/>
    <n v="44.849999999999994"/>
    <n v="299"/>
    <n v="254.15"/>
    <n v="0"/>
  </r>
  <r>
    <x v="45"/>
    <x v="15"/>
    <x v="29"/>
    <x v="3"/>
    <x v="4"/>
    <n v="1"/>
    <n v="499"/>
    <n v="0.2"/>
    <x v="2"/>
    <s v="Cash on Delivery"/>
    <x v="0"/>
    <n v="99.799999999999955"/>
    <n v="499"/>
    <n v="399.20000000000005"/>
    <n v="399.20000000000005"/>
  </r>
  <r>
    <x v="46"/>
    <x v="15"/>
    <x v="37"/>
    <x v="2"/>
    <x v="5"/>
    <n v="2"/>
    <n v="199"/>
    <n v="0"/>
    <x v="1"/>
    <s v="Cash on Delivery"/>
    <x v="0"/>
    <n v="0"/>
    <n v="398"/>
    <n v="398"/>
    <n v="398"/>
  </r>
  <r>
    <x v="47"/>
    <x v="15"/>
    <x v="38"/>
    <x v="1"/>
    <x v="1"/>
    <n v="3"/>
    <n v="1299"/>
    <n v="0.05"/>
    <x v="0"/>
    <s v="UPI"/>
    <x v="1"/>
    <n v="194.85000000000036"/>
    <n v="3897"/>
    <n v="3702.1499999999996"/>
    <n v="0"/>
  </r>
  <r>
    <x v="48"/>
    <x v="15"/>
    <x v="25"/>
    <x v="3"/>
    <x v="4"/>
    <n v="3"/>
    <n v="499"/>
    <n v="0"/>
    <x v="3"/>
    <s v="Net Banking"/>
    <x v="0"/>
    <n v="0"/>
    <n v="1497"/>
    <n v="1497"/>
    <n v="1497"/>
  </r>
  <r>
    <x v="49"/>
    <x v="15"/>
    <x v="39"/>
    <x v="2"/>
    <x v="11"/>
    <n v="2"/>
    <n v="399"/>
    <n v="0.2"/>
    <x v="1"/>
    <s v="Debit Card"/>
    <x v="1"/>
    <n v="159.59999999999991"/>
    <n v="798"/>
    <n v="638.40000000000009"/>
    <n v="0"/>
  </r>
  <r>
    <x v="50"/>
    <x v="16"/>
    <x v="40"/>
    <x v="0"/>
    <x v="18"/>
    <n v="2"/>
    <n v="1199"/>
    <n v="0.2"/>
    <x v="1"/>
    <s v="Cash on Delivery"/>
    <x v="2"/>
    <n v="479.59999999999991"/>
    <n v="2398"/>
    <n v="1918.4"/>
    <n v="0"/>
  </r>
  <r>
    <x v="51"/>
    <x v="17"/>
    <x v="41"/>
    <x v="0"/>
    <x v="9"/>
    <n v="1"/>
    <n v="299"/>
    <n v="0.15"/>
    <x v="2"/>
    <s v="Debit Card"/>
    <x v="0"/>
    <n v="44.849999999999994"/>
    <n v="299"/>
    <n v="254.15"/>
    <n v="254.15"/>
  </r>
  <r>
    <x v="52"/>
    <x v="17"/>
    <x v="42"/>
    <x v="1"/>
    <x v="12"/>
    <n v="2"/>
    <n v="2299"/>
    <n v="0.15"/>
    <x v="1"/>
    <s v="Debit Card"/>
    <x v="0"/>
    <n v="689.70000000000027"/>
    <n v="4598"/>
    <n v="3908.2999999999997"/>
    <n v="3908.2999999999997"/>
  </r>
  <r>
    <x v="53"/>
    <x v="17"/>
    <x v="42"/>
    <x v="2"/>
    <x v="13"/>
    <n v="1"/>
    <n v="299"/>
    <n v="0"/>
    <x v="0"/>
    <s v="Credit Card"/>
    <x v="1"/>
    <n v="0"/>
    <n v="299"/>
    <n v="299"/>
    <n v="0"/>
  </r>
  <r>
    <x v="54"/>
    <x v="18"/>
    <x v="43"/>
    <x v="1"/>
    <x v="10"/>
    <n v="2"/>
    <n v="1799"/>
    <n v="0.05"/>
    <x v="2"/>
    <s v="UPI"/>
    <x v="1"/>
    <n v="179.90000000000009"/>
    <n v="3598"/>
    <n v="3418.1"/>
    <n v="0"/>
  </r>
  <r>
    <x v="55"/>
    <x v="18"/>
    <x v="44"/>
    <x v="1"/>
    <x v="8"/>
    <n v="2"/>
    <n v="799"/>
    <n v="0"/>
    <x v="1"/>
    <s v="Credit Card"/>
    <x v="2"/>
    <n v="0"/>
    <n v="1598"/>
    <n v="1598"/>
    <n v="0"/>
  </r>
  <r>
    <x v="56"/>
    <x v="18"/>
    <x v="45"/>
    <x v="3"/>
    <x v="7"/>
    <n v="1"/>
    <n v="599"/>
    <n v="0"/>
    <x v="0"/>
    <s v="UPI"/>
    <x v="0"/>
    <n v="0"/>
    <n v="599"/>
    <n v="599"/>
    <n v="599"/>
  </r>
  <r>
    <x v="57"/>
    <x v="18"/>
    <x v="46"/>
    <x v="3"/>
    <x v="4"/>
    <n v="1"/>
    <n v="499"/>
    <n v="0.05"/>
    <x v="2"/>
    <s v="UPI"/>
    <x v="0"/>
    <n v="24.950000000000045"/>
    <n v="499"/>
    <n v="474.04999999999995"/>
    <n v="474.04999999999995"/>
  </r>
  <r>
    <x v="58"/>
    <x v="18"/>
    <x v="47"/>
    <x v="3"/>
    <x v="16"/>
    <n v="1"/>
    <n v="1599"/>
    <n v="0.2"/>
    <x v="2"/>
    <s v="Credit Card"/>
    <x v="2"/>
    <n v="319.79999999999995"/>
    <n v="1599"/>
    <n v="1279.2"/>
    <n v="0"/>
  </r>
  <r>
    <x v="59"/>
    <x v="18"/>
    <x v="15"/>
    <x v="2"/>
    <x v="11"/>
    <n v="2"/>
    <n v="399"/>
    <n v="0.05"/>
    <x v="0"/>
    <s v="Debit Card"/>
    <x v="2"/>
    <n v="39.900000000000091"/>
    <n v="798"/>
    <n v="758.09999999999991"/>
    <n v="0"/>
  </r>
  <r>
    <x v="60"/>
    <x v="18"/>
    <x v="23"/>
    <x v="1"/>
    <x v="1"/>
    <n v="1"/>
    <n v="1299"/>
    <n v="0.15"/>
    <x v="2"/>
    <s v="Cash on Delivery"/>
    <x v="0"/>
    <n v="194.85000000000014"/>
    <n v="1299"/>
    <n v="1104.1499999999999"/>
    <n v="1104.1499999999999"/>
  </r>
  <r>
    <x v="61"/>
    <x v="19"/>
    <x v="7"/>
    <x v="3"/>
    <x v="6"/>
    <n v="1"/>
    <n v="899"/>
    <n v="0.15"/>
    <x v="2"/>
    <s v="Cash on Delivery"/>
    <x v="1"/>
    <n v="134.85000000000002"/>
    <n v="899"/>
    <n v="764.15"/>
    <n v="0"/>
  </r>
  <r>
    <x v="62"/>
    <x v="19"/>
    <x v="35"/>
    <x v="0"/>
    <x v="0"/>
    <n v="1"/>
    <n v="499"/>
    <n v="0.1"/>
    <x v="0"/>
    <s v="Cash on Delivery"/>
    <x v="0"/>
    <n v="49.899999999999977"/>
    <n v="499"/>
    <n v="449.1"/>
    <n v="449.1"/>
  </r>
  <r>
    <x v="63"/>
    <x v="19"/>
    <x v="24"/>
    <x v="1"/>
    <x v="15"/>
    <n v="2"/>
    <n v="999"/>
    <n v="0.15"/>
    <x v="3"/>
    <s v="Cash on Delivery"/>
    <x v="1"/>
    <n v="299.70000000000005"/>
    <n v="1998"/>
    <n v="1698.3"/>
    <n v="0"/>
  </r>
  <r>
    <x v="64"/>
    <x v="20"/>
    <x v="48"/>
    <x v="1"/>
    <x v="15"/>
    <n v="3"/>
    <n v="999"/>
    <n v="0.05"/>
    <x v="0"/>
    <s v="Cash on Delivery"/>
    <x v="2"/>
    <n v="149.84999999999991"/>
    <n v="2997"/>
    <n v="2847.15"/>
    <n v="0"/>
  </r>
  <r>
    <x v="65"/>
    <x v="21"/>
    <x v="49"/>
    <x v="1"/>
    <x v="8"/>
    <n v="1"/>
    <n v="799"/>
    <n v="0"/>
    <x v="2"/>
    <s v="Debit Card"/>
    <x v="2"/>
    <n v="0"/>
    <n v="799"/>
    <n v="799"/>
    <n v="0"/>
  </r>
  <r>
    <x v="66"/>
    <x v="21"/>
    <x v="33"/>
    <x v="1"/>
    <x v="15"/>
    <n v="2"/>
    <n v="999"/>
    <n v="0.1"/>
    <x v="0"/>
    <s v="Cash on Delivery"/>
    <x v="0"/>
    <n v="199.79999999999995"/>
    <n v="1998"/>
    <n v="1798.2"/>
    <n v="1798.2"/>
  </r>
  <r>
    <x v="67"/>
    <x v="21"/>
    <x v="50"/>
    <x v="1"/>
    <x v="15"/>
    <n v="1"/>
    <n v="999"/>
    <n v="0.15"/>
    <x v="3"/>
    <s v="Credit Card"/>
    <x v="1"/>
    <n v="149.85000000000002"/>
    <n v="999"/>
    <n v="849.15"/>
    <n v="0"/>
  </r>
  <r>
    <x v="68"/>
    <x v="22"/>
    <x v="51"/>
    <x v="2"/>
    <x v="13"/>
    <n v="2"/>
    <n v="299"/>
    <n v="0"/>
    <x v="2"/>
    <s v="Cash on Delivery"/>
    <x v="0"/>
    <n v="0"/>
    <n v="598"/>
    <n v="598"/>
    <n v="598"/>
  </r>
  <r>
    <x v="69"/>
    <x v="22"/>
    <x v="52"/>
    <x v="3"/>
    <x v="16"/>
    <n v="4"/>
    <n v="1599"/>
    <n v="0.2"/>
    <x v="2"/>
    <s v="Credit Card"/>
    <x v="0"/>
    <n v="1279.1999999999998"/>
    <n v="6396"/>
    <n v="5116.8"/>
    <n v="5116.8"/>
  </r>
  <r>
    <x v="70"/>
    <x v="22"/>
    <x v="48"/>
    <x v="2"/>
    <x v="17"/>
    <n v="1"/>
    <n v="249"/>
    <n v="0.1"/>
    <x v="3"/>
    <s v="UPI"/>
    <x v="0"/>
    <n v="24.900000000000006"/>
    <n v="249"/>
    <n v="224.1"/>
    <n v="224.1"/>
  </r>
  <r>
    <x v="71"/>
    <x v="23"/>
    <x v="30"/>
    <x v="2"/>
    <x v="17"/>
    <n v="1"/>
    <n v="249"/>
    <n v="0.05"/>
    <x v="2"/>
    <s v="Credit Card"/>
    <x v="0"/>
    <n v="12.450000000000017"/>
    <n v="249"/>
    <n v="236.54999999999998"/>
    <n v="236.54999999999998"/>
  </r>
  <r>
    <x v="72"/>
    <x v="23"/>
    <x v="7"/>
    <x v="0"/>
    <x v="0"/>
    <n v="3"/>
    <n v="499"/>
    <n v="0.2"/>
    <x v="3"/>
    <s v="Debit Card"/>
    <x v="1"/>
    <n v="299.39999999999986"/>
    <n v="1497"/>
    <n v="1197.6000000000001"/>
    <n v="0"/>
  </r>
  <r>
    <x v="73"/>
    <x v="23"/>
    <x v="53"/>
    <x v="0"/>
    <x v="9"/>
    <n v="2"/>
    <n v="299"/>
    <n v="0.05"/>
    <x v="0"/>
    <s v="Net Banking"/>
    <x v="0"/>
    <n v="29.899999999999977"/>
    <n v="598"/>
    <n v="568.1"/>
    <n v="568.1"/>
  </r>
  <r>
    <x v="74"/>
    <x v="23"/>
    <x v="54"/>
    <x v="3"/>
    <x v="3"/>
    <n v="5"/>
    <n v="6499"/>
    <n v="0.15"/>
    <x v="1"/>
    <s v="Debit Card"/>
    <x v="0"/>
    <n v="4874.25"/>
    <n v="32495"/>
    <n v="27620.75"/>
    <n v="27620.75"/>
  </r>
  <r>
    <x v="75"/>
    <x v="24"/>
    <x v="55"/>
    <x v="0"/>
    <x v="0"/>
    <n v="1"/>
    <n v="499"/>
    <n v="0.15"/>
    <x v="3"/>
    <s v="UPI"/>
    <x v="0"/>
    <n v="74.850000000000023"/>
    <n v="499"/>
    <n v="424.15"/>
    <n v="424.15"/>
  </r>
  <r>
    <x v="76"/>
    <x v="24"/>
    <x v="45"/>
    <x v="2"/>
    <x v="5"/>
    <n v="1"/>
    <n v="199"/>
    <n v="0.15"/>
    <x v="1"/>
    <s v="Net Banking"/>
    <x v="1"/>
    <n v="29.849999999999994"/>
    <n v="199"/>
    <n v="169.15"/>
    <n v="0"/>
  </r>
  <r>
    <x v="77"/>
    <x v="24"/>
    <x v="14"/>
    <x v="2"/>
    <x v="2"/>
    <n v="4"/>
    <n v="349"/>
    <n v="0"/>
    <x v="3"/>
    <s v="Credit Card"/>
    <x v="0"/>
    <n v="0"/>
    <n v="1396"/>
    <n v="1396"/>
    <n v="1396"/>
  </r>
  <r>
    <x v="78"/>
    <x v="24"/>
    <x v="2"/>
    <x v="3"/>
    <x v="6"/>
    <n v="1"/>
    <n v="899"/>
    <n v="0.05"/>
    <x v="2"/>
    <s v="UPI"/>
    <x v="0"/>
    <n v="44.950000000000045"/>
    <n v="899"/>
    <n v="854.05"/>
    <n v="854.05"/>
  </r>
  <r>
    <x v="79"/>
    <x v="24"/>
    <x v="56"/>
    <x v="1"/>
    <x v="15"/>
    <n v="1"/>
    <n v="999"/>
    <n v="0.05"/>
    <x v="0"/>
    <s v="Credit Card"/>
    <x v="0"/>
    <n v="49.950000000000045"/>
    <n v="999"/>
    <n v="949.05"/>
    <n v="949.05"/>
  </r>
  <r>
    <x v="80"/>
    <x v="25"/>
    <x v="57"/>
    <x v="0"/>
    <x v="0"/>
    <n v="1"/>
    <n v="499"/>
    <n v="0.1"/>
    <x v="0"/>
    <s v="Debit Card"/>
    <x v="0"/>
    <n v="49.899999999999977"/>
    <n v="499"/>
    <n v="449.1"/>
    <n v="449.1"/>
  </r>
  <r>
    <x v="81"/>
    <x v="25"/>
    <x v="24"/>
    <x v="1"/>
    <x v="8"/>
    <n v="4"/>
    <n v="799"/>
    <n v="0.2"/>
    <x v="2"/>
    <s v="Net Banking"/>
    <x v="2"/>
    <n v="639.19999999999982"/>
    <n v="3196"/>
    <n v="2556.8000000000002"/>
    <n v="0"/>
  </r>
  <r>
    <x v="82"/>
    <x v="25"/>
    <x v="41"/>
    <x v="3"/>
    <x v="7"/>
    <n v="2"/>
    <n v="599"/>
    <n v="0.1"/>
    <x v="2"/>
    <s v="Credit Card"/>
    <x v="0"/>
    <n v="119.79999999999995"/>
    <n v="1198"/>
    <n v="1078.2"/>
    <n v="1078.2"/>
  </r>
  <r>
    <x v="83"/>
    <x v="25"/>
    <x v="22"/>
    <x v="1"/>
    <x v="15"/>
    <n v="1"/>
    <n v="999"/>
    <n v="0.2"/>
    <x v="0"/>
    <s v="Net Banking"/>
    <x v="0"/>
    <n v="199.79999999999995"/>
    <n v="999"/>
    <n v="799.2"/>
    <n v="799.2"/>
  </r>
  <r>
    <x v="84"/>
    <x v="25"/>
    <x v="58"/>
    <x v="1"/>
    <x v="15"/>
    <n v="1"/>
    <n v="999"/>
    <n v="0.15"/>
    <x v="1"/>
    <s v="Net Banking"/>
    <x v="0"/>
    <n v="149.85000000000002"/>
    <n v="999"/>
    <n v="849.15"/>
    <n v="849.15"/>
  </r>
  <r>
    <x v="85"/>
    <x v="26"/>
    <x v="54"/>
    <x v="3"/>
    <x v="6"/>
    <n v="2"/>
    <n v="899"/>
    <n v="0.1"/>
    <x v="0"/>
    <s v="UPI"/>
    <x v="2"/>
    <n v="179.79999999999995"/>
    <n v="1798"/>
    <n v="1618.2"/>
    <n v="0"/>
  </r>
  <r>
    <x v="86"/>
    <x v="27"/>
    <x v="59"/>
    <x v="1"/>
    <x v="15"/>
    <n v="2"/>
    <n v="999"/>
    <n v="0.05"/>
    <x v="2"/>
    <s v="Debit Card"/>
    <x v="1"/>
    <n v="99.900000000000091"/>
    <n v="1998"/>
    <n v="1898.1"/>
    <n v="0"/>
  </r>
  <r>
    <x v="87"/>
    <x v="27"/>
    <x v="60"/>
    <x v="3"/>
    <x v="6"/>
    <n v="2"/>
    <n v="899"/>
    <n v="0.15"/>
    <x v="3"/>
    <s v="Debit Card"/>
    <x v="0"/>
    <n v="269.70000000000005"/>
    <n v="1798"/>
    <n v="1528.3"/>
    <n v="1528.3"/>
  </r>
  <r>
    <x v="88"/>
    <x v="27"/>
    <x v="61"/>
    <x v="3"/>
    <x v="3"/>
    <n v="2"/>
    <n v="6499"/>
    <n v="0.15"/>
    <x v="3"/>
    <s v="Cash on Delivery"/>
    <x v="0"/>
    <n v="1949.7000000000007"/>
    <n v="12998"/>
    <n v="11048.3"/>
    <n v="11048.3"/>
  </r>
  <r>
    <x v="89"/>
    <x v="28"/>
    <x v="36"/>
    <x v="3"/>
    <x v="7"/>
    <n v="1"/>
    <n v="599"/>
    <n v="0"/>
    <x v="0"/>
    <s v="Cash on Delivery"/>
    <x v="0"/>
    <n v="0"/>
    <n v="599"/>
    <n v="599"/>
    <n v="599"/>
  </r>
  <r>
    <x v="90"/>
    <x v="29"/>
    <x v="62"/>
    <x v="2"/>
    <x v="11"/>
    <n v="1"/>
    <n v="399"/>
    <n v="0.15"/>
    <x v="1"/>
    <s v="Credit Card"/>
    <x v="0"/>
    <n v="59.850000000000023"/>
    <n v="399"/>
    <n v="339.15"/>
    <n v="339.15"/>
  </r>
  <r>
    <x v="91"/>
    <x v="30"/>
    <x v="8"/>
    <x v="0"/>
    <x v="0"/>
    <n v="1"/>
    <n v="499"/>
    <n v="0.15"/>
    <x v="3"/>
    <s v="UPI"/>
    <x v="2"/>
    <n v="74.850000000000023"/>
    <n v="499"/>
    <n v="424.15"/>
    <n v="0"/>
  </r>
  <r>
    <x v="92"/>
    <x v="30"/>
    <x v="57"/>
    <x v="3"/>
    <x v="4"/>
    <n v="2"/>
    <n v="499"/>
    <n v="0"/>
    <x v="3"/>
    <s v="Debit Card"/>
    <x v="0"/>
    <n v="0"/>
    <n v="998"/>
    <n v="998"/>
    <n v="998"/>
  </r>
  <r>
    <x v="93"/>
    <x v="31"/>
    <x v="37"/>
    <x v="3"/>
    <x v="16"/>
    <n v="2"/>
    <n v="1599"/>
    <n v="0"/>
    <x v="3"/>
    <s v="Net Banking"/>
    <x v="1"/>
    <n v="0"/>
    <n v="3198"/>
    <n v="3198"/>
    <n v="0"/>
  </r>
  <r>
    <x v="94"/>
    <x v="31"/>
    <x v="12"/>
    <x v="2"/>
    <x v="17"/>
    <n v="3"/>
    <n v="249"/>
    <n v="0.15"/>
    <x v="3"/>
    <s v="UPI"/>
    <x v="2"/>
    <n v="112.05000000000007"/>
    <n v="747"/>
    <n v="634.94999999999993"/>
    <n v="0"/>
  </r>
  <r>
    <x v="95"/>
    <x v="31"/>
    <x v="63"/>
    <x v="2"/>
    <x v="11"/>
    <n v="1"/>
    <n v="399"/>
    <n v="0.05"/>
    <x v="0"/>
    <s v="Net Banking"/>
    <x v="0"/>
    <n v="19.950000000000045"/>
    <n v="399"/>
    <n v="379.04999999999995"/>
    <n v="379.04999999999995"/>
  </r>
  <r>
    <x v="96"/>
    <x v="31"/>
    <x v="27"/>
    <x v="1"/>
    <x v="10"/>
    <n v="1"/>
    <n v="1799"/>
    <n v="0.15"/>
    <x v="2"/>
    <s v="Cash on Delivery"/>
    <x v="0"/>
    <n v="269.85000000000014"/>
    <n v="1799"/>
    <n v="1529.1499999999999"/>
    <n v="1529.1499999999999"/>
  </r>
  <r>
    <x v="97"/>
    <x v="31"/>
    <x v="53"/>
    <x v="1"/>
    <x v="10"/>
    <n v="1"/>
    <n v="1799"/>
    <n v="0"/>
    <x v="3"/>
    <s v="UPI"/>
    <x v="0"/>
    <n v="0"/>
    <n v="1799"/>
    <n v="1799"/>
    <n v="1799"/>
  </r>
  <r>
    <x v="98"/>
    <x v="31"/>
    <x v="64"/>
    <x v="3"/>
    <x v="6"/>
    <n v="4"/>
    <n v="899"/>
    <n v="0.1"/>
    <x v="3"/>
    <s v="UPI"/>
    <x v="0"/>
    <n v="359.59999999999991"/>
    <n v="3596"/>
    <n v="3236.4"/>
    <n v="3236.4"/>
  </r>
  <r>
    <x v="99"/>
    <x v="32"/>
    <x v="1"/>
    <x v="2"/>
    <x v="17"/>
    <n v="1"/>
    <n v="249"/>
    <n v="0.15"/>
    <x v="3"/>
    <s v="Debit Card"/>
    <x v="2"/>
    <n v="37.349999999999994"/>
    <n v="249"/>
    <n v="211.65"/>
    <n v="0"/>
  </r>
  <r>
    <x v="100"/>
    <x v="33"/>
    <x v="58"/>
    <x v="3"/>
    <x v="7"/>
    <n v="1"/>
    <n v="599"/>
    <n v="0.05"/>
    <x v="0"/>
    <s v="UPI"/>
    <x v="0"/>
    <n v="29.950000000000045"/>
    <n v="599"/>
    <n v="569.04999999999995"/>
    <n v="569.04999999999995"/>
  </r>
  <r>
    <x v="101"/>
    <x v="33"/>
    <x v="6"/>
    <x v="0"/>
    <x v="14"/>
    <n v="1"/>
    <n v="1499"/>
    <n v="0.2"/>
    <x v="1"/>
    <s v="Net Banking"/>
    <x v="1"/>
    <n v="299.79999999999995"/>
    <n v="1499"/>
    <n v="1199.2"/>
    <n v="0"/>
  </r>
  <r>
    <x v="102"/>
    <x v="33"/>
    <x v="65"/>
    <x v="3"/>
    <x v="7"/>
    <n v="1"/>
    <n v="599"/>
    <n v="0.05"/>
    <x v="3"/>
    <s v="Credit Card"/>
    <x v="1"/>
    <n v="29.950000000000045"/>
    <n v="599"/>
    <n v="569.04999999999995"/>
    <n v="0"/>
  </r>
  <r>
    <x v="103"/>
    <x v="33"/>
    <x v="43"/>
    <x v="2"/>
    <x v="5"/>
    <n v="3"/>
    <n v="199"/>
    <n v="0.2"/>
    <x v="3"/>
    <s v="Debit Card"/>
    <x v="0"/>
    <n v="119.39999999999998"/>
    <n v="597"/>
    <n v="477.6"/>
    <n v="477.6"/>
  </r>
  <r>
    <x v="104"/>
    <x v="33"/>
    <x v="66"/>
    <x v="1"/>
    <x v="8"/>
    <n v="1"/>
    <n v="799"/>
    <n v="0.1"/>
    <x v="1"/>
    <s v="Credit Card"/>
    <x v="0"/>
    <n v="79.899999999999977"/>
    <n v="799"/>
    <n v="719.1"/>
    <n v="719.1"/>
  </r>
  <r>
    <x v="105"/>
    <x v="34"/>
    <x v="59"/>
    <x v="1"/>
    <x v="1"/>
    <n v="2"/>
    <n v="1299"/>
    <n v="0.15"/>
    <x v="0"/>
    <s v="Net Banking"/>
    <x v="0"/>
    <n v="389.70000000000027"/>
    <n v="2598"/>
    <n v="2208.2999999999997"/>
    <n v="2208.2999999999997"/>
  </r>
  <r>
    <x v="106"/>
    <x v="34"/>
    <x v="67"/>
    <x v="2"/>
    <x v="11"/>
    <n v="4"/>
    <n v="399"/>
    <n v="0.1"/>
    <x v="0"/>
    <s v="Cash on Delivery"/>
    <x v="0"/>
    <n v="159.59999999999991"/>
    <n v="1596"/>
    <n v="1436.4"/>
    <n v="1436.4"/>
  </r>
  <r>
    <x v="107"/>
    <x v="35"/>
    <x v="60"/>
    <x v="1"/>
    <x v="1"/>
    <n v="1"/>
    <n v="1299"/>
    <n v="0.15"/>
    <x v="3"/>
    <s v="Net Banking"/>
    <x v="0"/>
    <n v="194.85000000000014"/>
    <n v="1299"/>
    <n v="1104.1499999999999"/>
    <n v="1104.1499999999999"/>
  </r>
  <r>
    <x v="108"/>
    <x v="35"/>
    <x v="23"/>
    <x v="1"/>
    <x v="8"/>
    <n v="3"/>
    <n v="799"/>
    <n v="0"/>
    <x v="2"/>
    <s v="Credit Card"/>
    <x v="0"/>
    <n v="0"/>
    <n v="2397"/>
    <n v="2397"/>
    <n v="2397"/>
  </r>
  <r>
    <x v="109"/>
    <x v="35"/>
    <x v="40"/>
    <x v="3"/>
    <x v="3"/>
    <n v="4"/>
    <n v="6499"/>
    <n v="0.2"/>
    <x v="0"/>
    <s v="UPI"/>
    <x v="0"/>
    <n v="5199.1999999999971"/>
    <n v="25996"/>
    <n v="20796.800000000003"/>
    <n v="20796.800000000003"/>
  </r>
  <r>
    <x v="110"/>
    <x v="35"/>
    <x v="33"/>
    <x v="1"/>
    <x v="10"/>
    <n v="4"/>
    <n v="1799"/>
    <n v="0.05"/>
    <x v="2"/>
    <s v="Debit Card"/>
    <x v="0"/>
    <n v="359.80000000000018"/>
    <n v="7196"/>
    <n v="6836.2"/>
    <n v="6836.2"/>
  </r>
  <r>
    <x v="111"/>
    <x v="35"/>
    <x v="14"/>
    <x v="1"/>
    <x v="1"/>
    <n v="1"/>
    <n v="1299"/>
    <n v="0"/>
    <x v="1"/>
    <s v="Net Banking"/>
    <x v="2"/>
    <n v="0"/>
    <n v="1299"/>
    <n v="1299"/>
    <n v="0"/>
  </r>
  <r>
    <x v="112"/>
    <x v="35"/>
    <x v="39"/>
    <x v="3"/>
    <x v="7"/>
    <n v="4"/>
    <n v="599"/>
    <n v="0.15"/>
    <x v="3"/>
    <s v="Debit Card"/>
    <x v="0"/>
    <n v="359.40000000000009"/>
    <n v="2396"/>
    <n v="2036.6"/>
    <n v="2036.6"/>
  </r>
  <r>
    <x v="113"/>
    <x v="35"/>
    <x v="31"/>
    <x v="0"/>
    <x v="9"/>
    <n v="2"/>
    <n v="299"/>
    <n v="0"/>
    <x v="3"/>
    <s v="Cash on Delivery"/>
    <x v="0"/>
    <n v="0"/>
    <n v="598"/>
    <n v="598"/>
    <n v="598"/>
  </r>
  <r>
    <x v="114"/>
    <x v="36"/>
    <x v="6"/>
    <x v="3"/>
    <x v="3"/>
    <n v="2"/>
    <n v="6499"/>
    <n v="0.1"/>
    <x v="1"/>
    <s v="Debit Card"/>
    <x v="0"/>
    <n v="1299.7999999999993"/>
    <n v="12998"/>
    <n v="11698.2"/>
    <n v="11698.2"/>
  </r>
  <r>
    <x v="115"/>
    <x v="36"/>
    <x v="68"/>
    <x v="0"/>
    <x v="19"/>
    <n v="2"/>
    <n v="699"/>
    <n v="0.05"/>
    <x v="3"/>
    <s v="UPI"/>
    <x v="0"/>
    <n v="69.900000000000091"/>
    <n v="1398"/>
    <n v="1328.1"/>
    <n v="1328.1"/>
  </r>
  <r>
    <x v="116"/>
    <x v="37"/>
    <x v="6"/>
    <x v="1"/>
    <x v="12"/>
    <n v="2"/>
    <n v="2299"/>
    <n v="0"/>
    <x v="0"/>
    <s v="Net Banking"/>
    <x v="2"/>
    <n v="0"/>
    <n v="4598"/>
    <n v="4598"/>
    <n v="0"/>
  </r>
  <r>
    <x v="117"/>
    <x v="38"/>
    <x v="61"/>
    <x v="3"/>
    <x v="16"/>
    <n v="3"/>
    <n v="1599"/>
    <n v="0.2"/>
    <x v="3"/>
    <s v="Credit Card"/>
    <x v="0"/>
    <n v="959.39999999999964"/>
    <n v="4797"/>
    <n v="3837.6000000000004"/>
    <n v="3837.6000000000004"/>
  </r>
  <r>
    <x v="118"/>
    <x v="38"/>
    <x v="69"/>
    <x v="2"/>
    <x v="2"/>
    <n v="3"/>
    <n v="349"/>
    <n v="0.15"/>
    <x v="1"/>
    <s v="Credit Card"/>
    <x v="2"/>
    <n v="157.05000000000007"/>
    <n v="1047"/>
    <n v="889.94999999999993"/>
    <n v="0"/>
  </r>
  <r>
    <x v="119"/>
    <x v="39"/>
    <x v="62"/>
    <x v="0"/>
    <x v="9"/>
    <n v="1"/>
    <n v="299"/>
    <n v="0.2"/>
    <x v="1"/>
    <s v="Cash on Delivery"/>
    <x v="0"/>
    <n v="59.799999999999983"/>
    <n v="299"/>
    <n v="239.20000000000002"/>
    <n v="239.20000000000002"/>
  </r>
  <r>
    <x v="120"/>
    <x v="40"/>
    <x v="44"/>
    <x v="0"/>
    <x v="18"/>
    <n v="2"/>
    <n v="1199"/>
    <n v="0.1"/>
    <x v="0"/>
    <s v="Cash on Delivery"/>
    <x v="0"/>
    <n v="239.79999999999973"/>
    <n v="2398"/>
    <n v="2158.2000000000003"/>
    <n v="2158.2000000000003"/>
  </r>
  <r>
    <x v="121"/>
    <x v="40"/>
    <x v="10"/>
    <x v="1"/>
    <x v="8"/>
    <n v="1"/>
    <n v="799"/>
    <n v="0.1"/>
    <x v="0"/>
    <s v="Cash on Delivery"/>
    <x v="0"/>
    <n v="79.899999999999977"/>
    <n v="799"/>
    <n v="719.1"/>
    <n v="719.1"/>
  </r>
  <r>
    <x v="122"/>
    <x v="40"/>
    <x v="60"/>
    <x v="2"/>
    <x v="11"/>
    <n v="3"/>
    <n v="399"/>
    <n v="0.2"/>
    <x v="0"/>
    <s v="UPI"/>
    <x v="0"/>
    <n v="239.39999999999998"/>
    <n v="1197"/>
    <n v="957.6"/>
    <n v="957.6"/>
  </r>
  <r>
    <x v="123"/>
    <x v="40"/>
    <x v="28"/>
    <x v="3"/>
    <x v="3"/>
    <n v="3"/>
    <n v="6499"/>
    <n v="0.05"/>
    <x v="3"/>
    <s v="Net Banking"/>
    <x v="0"/>
    <n v="974.85000000000218"/>
    <n v="19497"/>
    <n v="18522.149999999998"/>
    <n v="18522.149999999998"/>
  </r>
  <r>
    <x v="124"/>
    <x v="41"/>
    <x v="20"/>
    <x v="2"/>
    <x v="11"/>
    <n v="3"/>
    <n v="399"/>
    <n v="0.05"/>
    <x v="1"/>
    <s v="UPI"/>
    <x v="0"/>
    <n v="59.850000000000136"/>
    <n v="1197"/>
    <n v="1137.1499999999999"/>
    <n v="1137.1499999999999"/>
  </r>
  <r>
    <x v="125"/>
    <x v="41"/>
    <x v="2"/>
    <x v="2"/>
    <x v="11"/>
    <n v="2"/>
    <n v="399"/>
    <n v="0.05"/>
    <x v="3"/>
    <s v="UPI"/>
    <x v="0"/>
    <n v="39.900000000000091"/>
    <n v="798"/>
    <n v="758.09999999999991"/>
    <n v="758.09999999999991"/>
  </r>
  <r>
    <x v="126"/>
    <x v="42"/>
    <x v="13"/>
    <x v="2"/>
    <x v="17"/>
    <n v="1"/>
    <n v="249"/>
    <n v="0"/>
    <x v="2"/>
    <s v="Cash on Delivery"/>
    <x v="0"/>
    <n v="0"/>
    <n v="249"/>
    <n v="249"/>
    <n v="249"/>
  </r>
  <r>
    <x v="127"/>
    <x v="42"/>
    <x v="60"/>
    <x v="2"/>
    <x v="5"/>
    <n v="2"/>
    <n v="199"/>
    <n v="0"/>
    <x v="1"/>
    <s v="UPI"/>
    <x v="0"/>
    <n v="0"/>
    <n v="398"/>
    <n v="398"/>
    <n v="398"/>
  </r>
  <r>
    <x v="128"/>
    <x v="42"/>
    <x v="70"/>
    <x v="2"/>
    <x v="5"/>
    <n v="4"/>
    <n v="199"/>
    <n v="0.2"/>
    <x v="0"/>
    <s v="Cash on Delivery"/>
    <x v="0"/>
    <n v="159.19999999999993"/>
    <n v="796"/>
    <n v="636.80000000000007"/>
    <n v="636.80000000000007"/>
  </r>
  <r>
    <x v="129"/>
    <x v="43"/>
    <x v="43"/>
    <x v="2"/>
    <x v="2"/>
    <n v="1"/>
    <n v="349"/>
    <n v="0.2"/>
    <x v="0"/>
    <s v="Net Banking"/>
    <x v="1"/>
    <n v="69.800000000000011"/>
    <n v="349"/>
    <n v="279.2"/>
    <n v="0"/>
  </r>
  <r>
    <x v="130"/>
    <x v="43"/>
    <x v="15"/>
    <x v="2"/>
    <x v="11"/>
    <n v="1"/>
    <n v="399"/>
    <n v="0.15"/>
    <x v="3"/>
    <s v="Debit Card"/>
    <x v="0"/>
    <n v="59.850000000000023"/>
    <n v="399"/>
    <n v="339.15"/>
    <n v="339.15"/>
  </r>
  <r>
    <x v="131"/>
    <x v="44"/>
    <x v="71"/>
    <x v="1"/>
    <x v="1"/>
    <n v="2"/>
    <n v="1299"/>
    <n v="0"/>
    <x v="0"/>
    <s v="Debit Card"/>
    <x v="0"/>
    <n v="0"/>
    <n v="2598"/>
    <n v="2598"/>
    <n v="2598"/>
  </r>
  <r>
    <x v="132"/>
    <x v="44"/>
    <x v="52"/>
    <x v="3"/>
    <x v="4"/>
    <n v="1"/>
    <n v="499"/>
    <n v="0.2"/>
    <x v="3"/>
    <s v="UPI"/>
    <x v="0"/>
    <n v="99.799999999999955"/>
    <n v="499"/>
    <n v="399.20000000000005"/>
    <n v="399.20000000000005"/>
  </r>
  <r>
    <x v="133"/>
    <x v="45"/>
    <x v="38"/>
    <x v="2"/>
    <x v="13"/>
    <n v="1"/>
    <n v="299"/>
    <n v="0.05"/>
    <x v="0"/>
    <s v="UPI"/>
    <x v="0"/>
    <n v="14.949999999999989"/>
    <n v="299"/>
    <n v="284.05"/>
    <n v="284.05"/>
  </r>
  <r>
    <x v="134"/>
    <x v="46"/>
    <x v="58"/>
    <x v="2"/>
    <x v="13"/>
    <n v="3"/>
    <n v="299"/>
    <n v="0.2"/>
    <x v="3"/>
    <s v="Cash on Delivery"/>
    <x v="0"/>
    <n v="179.39999999999998"/>
    <n v="897"/>
    <n v="717.6"/>
    <n v="717.6"/>
  </r>
  <r>
    <x v="135"/>
    <x v="46"/>
    <x v="1"/>
    <x v="0"/>
    <x v="9"/>
    <n v="2"/>
    <n v="299"/>
    <n v="0.05"/>
    <x v="3"/>
    <s v="Debit Card"/>
    <x v="2"/>
    <n v="29.899999999999977"/>
    <n v="598"/>
    <n v="568.1"/>
    <n v="0"/>
  </r>
  <r>
    <x v="136"/>
    <x v="46"/>
    <x v="21"/>
    <x v="1"/>
    <x v="15"/>
    <n v="2"/>
    <n v="999"/>
    <n v="0.05"/>
    <x v="1"/>
    <s v="Credit Card"/>
    <x v="0"/>
    <n v="99.900000000000091"/>
    <n v="1998"/>
    <n v="1898.1"/>
    <n v="1898.1"/>
  </r>
  <r>
    <x v="137"/>
    <x v="46"/>
    <x v="40"/>
    <x v="0"/>
    <x v="14"/>
    <n v="1"/>
    <n v="1499"/>
    <n v="0.15"/>
    <x v="1"/>
    <s v="Cash on Delivery"/>
    <x v="0"/>
    <n v="224.85000000000014"/>
    <n v="1499"/>
    <n v="1274.1499999999999"/>
    <n v="1274.1499999999999"/>
  </r>
  <r>
    <x v="138"/>
    <x v="46"/>
    <x v="54"/>
    <x v="3"/>
    <x v="7"/>
    <n v="1"/>
    <n v="599"/>
    <n v="0.05"/>
    <x v="2"/>
    <s v="Cash on Delivery"/>
    <x v="2"/>
    <n v="29.950000000000045"/>
    <n v="599"/>
    <n v="569.04999999999995"/>
    <n v="0"/>
  </r>
  <r>
    <x v="139"/>
    <x v="46"/>
    <x v="16"/>
    <x v="1"/>
    <x v="15"/>
    <n v="1"/>
    <n v="999"/>
    <n v="0"/>
    <x v="2"/>
    <s v="Debit Card"/>
    <x v="1"/>
    <n v="0"/>
    <n v="999"/>
    <n v="999"/>
    <n v="0"/>
  </r>
  <r>
    <x v="140"/>
    <x v="46"/>
    <x v="72"/>
    <x v="2"/>
    <x v="17"/>
    <n v="3"/>
    <n v="249"/>
    <n v="0"/>
    <x v="1"/>
    <s v="UPI"/>
    <x v="0"/>
    <n v="0"/>
    <n v="747"/>
    <n v="747"/>
    <n v="747"/>
  </r>
  <r>
    <x v="141"/>
    <x v="47"/>
    <x v="72"/>
    <x v="0"/>
    <x v="18"/>
    <n v="1"/>
    <n v="1199"/>
    <n v="0.2"/>
    <x v="3"/>
    <s v="Net Banking"/>
    <x v="2"/>
    <n v="239.79999999999995"/>
    <n v="1199"/>
    <n v="959.2"/>
    <n v="0"/>
  </r>
  <r>
    <x v="142"/>
    <x v="47"/>
    <x v="73"/>
    <x v="3"/>
    <x v="7"/>
    <n v="1"/>
    <n v="599"/>
    <n v="0"/>
    <x v="1"/>
    <s v="Credit Card"/>
    <x v="0"/>
    <n v="0"/>
    <n v="599"/>
    <n v="599"/>
    <n v="599"/>
  </r>
  <r>
    <x v="143"/>
    <x v="48"/>
    <x v="74"/>
    <x v="0"/>
    <x v="0"/>
    <n v="1"/>
    <n v="499"/>
    <n v="0.05"/>
    <x v="0"/>
    <s v="Debit Card"/>
    <x v="0"/>
    <n v="24.950000000000045"/>
    <n v="499"/>
    <n v="474.04999999999995"/>
    <n v="474.04999999999995"/>
  </r>
  <r>
    <x v="144"/>
    <x v="48"/>
    <x v="49"/>
    <x v="3"/>
    <x v="7"/>
    <n v="2"/>
    <n v="599"/>
    <n v="0.1"/>
    <x v="2"/>
    <s v="Net Banking"/>
    <x v="1"/>
    <n v="119.79999999999995"/>
    <n v="1198"/>
    <n v="1078.2"/>
    <n v="0"/>
  </r>
  <r>
    <x v="145"/>
    <x v="48"/>
    <x v="58"/>
    <x v="0"/>
    <x v="0"/>
    <n v="1"/>
    <n v="499"/>
    <n v="0.2"/>
    <x v="3"/>
    <s v="Debit Card"/>
    <x v="2"/>
    <n v="99.799999999999955"/>
    <n v="499"/>
    <n v="399.20000000000005"/>
    <n v="0"/>
  </r>
  <r>
    <x v="146"/>
    <x v="49"/>
    <x v="37"/>
    <x v="3"/>
    <x v="4"/>
    <n v="2"/>
    <n v="499"/>
    <n v="0"/>
    <x v="0"/>
    <s v="Cash on Delivery"/>
    <x v="2"/>
    <n v="0"/>
    <n v="998"/>
    <n v="998"/>
    <n v="0"/>
  </r>
  <r>
    <x v="147"/>
    <x v="50"/>
    <x v="51"/>
    <x v="3"/>
    <x v="4"/>
    <n v="1"/>
    <n v="499"/>
    <n v="0.2"/>
    <x v="1"/>
    <s v="Cash on Delivery"/>
    <x v="0"/>
    <n v="99.799999999999955"/>
    <n v="499"/>
    <n v="399.20000000000005"/>
    <n v="399.20000000000005"/>
  </r>
  <r>
    <x v="148"/>
    <x v="50"/>
    <x v="64"/>
    <x v="0"/>
    <x v="14"/>
    <n v="1"/>
    <n v="1499"/>
    <n v="0.05"/>
    <x v="0"/>
    <s v="UPI"/>
    <x v="0"/>
    <n v="74.950000000000045"/>
    <n v="1499"/>
    <n v="1424.05"/>
    <n v="1424.05"/>
  </r>
  <r>
    <x v="149"/>
    <x v="50"/>
    <x v="75"/>
    <x v="1"/>
    <x v="15"/>
    <n v="2"/>
    <n v="999"/>
    <n v="0.15"/>
    <x v="0"/>
    <s v="Cash on Delivery"/>
    <x v="2"/>
    <n v="299.70000000000005"/>
    <n v="1998"/>
    <n v="1698.3"/>
    <n v="0"/>
  </r>
  <r>
    <x v="150"/>
    <x v="50"/>
    <x v="68"/>
    <x v="0"/>
    <x v="14"/>
    <n v="3"/>
    <n v="1499"/>
    <n v="0.1"/>
    <x v="3"/>
    <s v="Cash on Delivery"/>
    <x v="0"/>
    <n v="449.69999999999982"/>
    <n v="4497"/>
    <n v="4047.3"/>
    <n v="4047.3"/>
  </r>
  <r>
    <x v="151"/>
    <x v="50"/>
    <x v="76"/>
    <x v="3"/>
    <x v="7"/>
    <n v="2"/>
    <n v="599"/>
    <n v="0.1"/>
    <x v="2"/>
    <s v="Cash on Delivery"/>
    <x v="0"/>
    <n v="119.79999999999995"/>
    <n v="1198"/>
    <n v="1078.2"/>
    <n v="1078.2"/>
  </r>
  <r>
    <x v="152"/>
    <x v="51"/>
    <x v="77"/>
    <x v="0"/>
    <x v="18"/>
    <n v="2"/>
    <n v="1199"/>
    <n v="0.2"/>
    <x v="0"/>
    <s v="Cash on Delivery"/>
    <x v="0"/>
    <n v="479.59999999999991"/>
    <n v="2398"/>
    <n v="1918.4"/>
    <n v="1918.4"/>
  </r>
  <r>
    <x v="153"/>
    <x v="51"/>
    <x v="59"/>
    <x v="3"/>
    <x v="16"/>
    <n v="2"/>
    <n v="1599"/>
    <n v="0.2"/>
    <x v="2"/>
    <s v="Cash on Delivery"/>
    <x v="0"/>
    <n v="639.59999999999991"/>
    <n v="3198"/>
    <n v="2558.4"/>
    <n v="2558.4"/>
  </r>
  <r>
    <x v="154"/>
    <x v="52"/>
    <x v="78"/>
    <x v="0"/>
    <x v="9"/>
    <n v="1"/>
    <n v="299"/>
    <n v="0"/>
    <x v="0"/>
    <s v="Net Banking"/>
    <x v="0"/>
    <n v="0"/>
    <n v="299"/>
    <n v="299"/>
    <n v="299"/>
  </r>
  <r>
    <x v="155"/>
    <x v="52"/>
    <x v="56"/>
    <x v="0"/>
    <x v="14"/>
    <n v="1"/>
    <n v="1499"/>
    <n v="0.2"/>
    <x v="1"/>
    <s v="Net Banking"/>
    <x v="2"/>
    <n v="299.79999999999995"/>
    <n v="1499"/>
    <n v="1199.2"/>
    <n v="0"/>
  </r>
  <r>
    <x v="156"/>
    <x v="53"/>
    <x v="60"/>
    <x v="2"/>
    <x v="5"/>
    <n v="4"/>
    <n v="199"/>
    <n v="0.1"/>
    <x v="0"/>
    <s v="Credit Card"/>
    <x v="0"/>
    <n v="79.600000000000023"/>
    <n v="796"/>
    <n v="716.4"/>
    <n v="716.4"/>
  </r>
  <r>
    <x v="157"/>
    <x v="53"/>
    <x v="25"/>
    <x v="0"/>
    <x v="18"/>
    <n v="3"/>
    <n v="1199"/>
    <n v="0"/>
    <x v="1"/>
    <s v="Credit Card"/>
    <x v="2"/>
    <n v="0"/>
    <n v="3597"/>
    <n v="3597"/>
    <n v="0"/>
  </r>
  <r>
    <x v="158"/>
    <x v="53"/>
    <x v="79"/>
    <x v="2"/>
    <x v="17"/>
    <n v="1"/>
    <n v="249"/>
    <n v="0.1"/>
    <x v="3"/>
    <s v="Net Banking"/>
    <x v="2"/>
    <n v="24.900000000000006"/>
    <n v="249"/>
    <n v="224.1"/>
    <n v="0"/>
  </r>
  <r>
    <x v="159"/>
    <x v="54"/>
    <x v="20"/>
    <x v="2"/>
    <x v="5"/>
    <n v="1"/>
    <n v="199"/>
    <n v="0"/>
    <x v="0"/>
    <s v="Cash on Delivery"/>
    <x v="2"/>
    <n v="0"/>
    <n v="199"/>
    <n v="199"/>
    <n v="0"/>
  </r>
  <r>
    <x v="160"/>
    <x v="54"/>
    <x v="55"/>
    <x v="0"/>
    <x v="9"/>
    <n v="2"/>
    <n v="299"/>
    <n v="0"/>
    <x v="1"/>
    <s v="Cash on Delivery"/>
    <x v="0"/>
    <n v="0"/>
    <n v="598"/>
    <n v="598"/>
    <n v="598"/>
  </r>
  <r>
    <x v="161"/>
    <x v="55"/>
    <x v="13"/>
    <x v="0"/>
    <x v="14"/>
    <n v="1"/>
    <n v="1499"/>
    <n v="0.05"/>
    <x v="2"/>
    <s v="Credit Card"/>
    <x v="0"/>
    <n v="74.950000000000045"/>
    <n v="1499"/>
    <n v="1424.05"/>
    <n v="1424.05"/>
  </r>
  <r>
    <x v="162"/>
    <x v="55"/>
    <x v="65"/>
    <x v="3"/>
    <x v="16"/>
    <n v="5"/>
    <n v="1599"/>
    <n v="0"/>
    <x v="2"/>
    <s v="UPI"/>
    <x v="2"/>
    <n v="0"/>
    <n v="7995"/>
    <n v="7995"/>
    <n v="0"/>
  </r>
  <r>
    <x v="163"/>
    <x v="55"/>
    <x v="80"/>
    <x v="1"/>
    <x v="15"/>
    <n v="5"/>
    <n v="999"/>
    <n v="0.1"/>
    <x v="1"/>
    <s v="UPI"/>
    <x v="0"/>
    <n v="499.5"/>
    <n v="4995"/>
    <n v="4495.5"/>
    <n v="4495.5"/>
  </r>
  <r>
    <x v="164"/>
    <x v="55"/>
    <x v="81"/>
    <x v="1"/>
    <x v="15"/>
    <n v="1"/>
    <n v="999"/>
    <n v="0.15"/>
    <x v="2"/>
    <s v="UPI"/>
    <x v="0"/>
    <n v="149.85000000000002"/>
    <n v="999"/>
    <n v="849.15"/>
    <n v="849.15"/>
  </r>
  <r>
    <x v="165"/>
    <x v="55"/>
    <x v="73"/>
    <x v="1"/>
    <x v="15"/>
    <n v="2"/>
    <n v="999"/>
    <n v="0.05"/>
    <x v="2"/>
    <s v="Cash on Delivery"/>
    <x v="2"/>
    <n v="99.900000000000091"/>
    <n v="1998"/>
    <n v="1898.1"/>
    <n v="0"/>
  </r>
  <r>
    <x v="166"/>
    <x v="55"/>
    <x v="82"/>
    <x v="1"/>
    <x v="1"/>
    <n v="1"/>
    <n v="1299"/>
    <n v="0.2"/>
    <x v="2"/>
    <s v="Credit Card"/>
    <x v="0"/>
    <n v="259.79999999999995"/>
    <n v="1299"/>
    <n v="1039.2"/>
    <n v="1039.2"/>
  </r>
  <r>
    <x v="167"/>
    <x v="56"/>
    <x v="83"/>
    <x v="0"/>
    <x v="9"/>
    <n v="1"/>
    <n v="299"/>
    <n v="0.15"/>
    <x v="1"/>
    <s v="Net Banking"/>
    <x v="0"/>
    <n v="44.849999999999994"/>
    <n v="299"/>
    <n v="254.15"/>
    <n v="254.15"/>
  </r>
  <r>
    <x v="168"/>
    <x v="56"/>
    <x v="84"/>
    <x v="0"/>
    <x v="0"/>
    <n v="3"/>
    <n v="499"/>
    <n v="0"/>
    <x v="0"/>
    <s v="Cash on Delivery"/>
    <x v="0"/>
    <n v="0"/>
    <n v="1497"/>
    <n v="1497"/>
    <n v="1497"/>
  </r>
  <r>
    <x v="169"/>
    <x v="57"/>
    <x v="45"/>
    <x v="2"/>
    <x v="17"/>
    <n v="1"/>
    <n v="249"/>
    <n v="0.2"/>
    <x v="0"/>
    <s v="Debit Card"/>
    <x v="0"/>
    <n v="49.799999999999983"/>
    <n v="249"/>
    <n v="199.20000000000002"/>
    <n v="199.20000000000002"/>
  </r>
  <r>
    <x v="170"/>
    <x v="57"/>
    <x v="61"/>
    <x v="2"/>
    <x v="11"/>
    <n v="1"/>
    <n v="399"/>
    <n v="0"/>
    <x v="3"/>
    <s v="Credit Card"/>
    <x v="0"/>
    <n v="0"/>
    <n v="399"/>
    <n v="399"/>
    <n v="399"/>
  </r>
  <r>
    <x v="171"/>
    <x v="57"/>
    <x v="20"/>
    <x v="0"/>
    <x v="9"/>
    <n v="4"/>
    <n v="299"/>
    <n v="0"/>
    <x v="0"/>
    <s v="UPI"/>
    <x v="0"/>
    <n v="0"/>
    <n v="1196"/>
    <n v="1196"/>
    <n v="1196"/>
  </r>
  <r>
    <x v="172"/>
    <x v="58"/>
    <x v="57"/>
    <x v="0"/>
    <x v="0"/>
    <n v="2"/>
    <n v="499"/>
    <n v="0.2"/>
    <x v="2"/>
    <s v="Cash on Delivery"/>
    <x v="0"/>
    <n v="199.59999999999991"/>
    <n v="998"/>
    <n v="798.40000000000009"/>
    <n v="798.40000000000009"/>
  </r>
  <r>
    <x v="173"/>
    <x v="58"/>
    <x v="24"/>
    <x v="0"/>
    <x v="19"/>
    <n v="1"/>
    <n v="699"/>
    <n v="0"/>
    <x v="2"/>
    <s v="Cash on Delivery"/>
    <x v="1"/>
    <n v="0"/>
    <n v="699"/>
    <n v="699"/>
    <n v="0"/>
  </r>
  <r>
    <x v="174"/>
    <x v="58"/>
    <x v="18"/>
    <x v="3"/>
    <x v="4"/>
    <n v="3"/>
    <n v="499"/>
    <n v="0.2"/>
    <x v="2"/>
    <s v="Credit Card"/>
    <x v="0"/>
    <n v="299.39999999999986"/>
    <n v="1497"/>
    <n v="1197.6000000000001"/>
    <n v="1197.6000000000001"/>
  </r>
  <r>
    <x v="175"/>
    <x v="59"/>
    <x v="29"/>
    <x v="2"/>
    <x v="13"/>
    <n v="1"/>
    <n v="299"/>
    <n v="0.2"/>
    <x v="3"/>
    <s v="Credit Card"/>
    <x v="0"/>
    <n v="59.799999999999983"/>
    <n v="299"/>
    <n v="239.20000000000002"/>
    <n v="239.20000000000002"/>
  </r>
  <r>
    <x v="176"/>
    <x v="59"/>
    <x v="85"/>
    <x v="3"/>
    <x v="6"/>
    <n v="2"/>
    <n v="899"/>
    <n v="0"/>
    <x v="0"/>
    <s v="Net Banking"/>
    <x v="0"/>
    <n v="0"/>
    <n v="1798"/>
    <n v="1798"/>
    <n v="1798"/>
  </r>
  <r>
    <x v="177"/>
    <x v="59"/>
    <x v="57"/>
    <x v="0"/>
    <x v="14"/>
    <n v="1"/>
    <n v="1499"/>
    <n v="0.2"/>
    <x v="1"/>
    <s v="Cash on Delivery"/>
    <x v="2"/>
    <n v="299.79999999999995"/>
    <n v="1499"/>
    <n v="1199.2"/>
    <n v="0"/>
  </r>
  <r>
    <x v="178"/>
    <x v="59"/>
    <x v="9"/>
    <x v="2"/>
    <x v="5"/>
    <n v="2"/>
    <n v="199"/>
    <n v="0.15"/>
    <x v="1"/>
    <s v="UPI"/>
    <x v="1"/>
    <n v="59.699999999999989"/>
    <n v="398"/>
    <n v="338.3"/>
    <n v="0"/>
  </r>
  <r>
    <x v="179"/>
    <x v="59"/>
    <x v="29"/>
    <x v="1"/>
    <x v="15"/>
    <n v="3"/>
    <n v="999"/>
    <n v="0"/>
    <x v="0"/>
    <s v="Cash on Delivery"/>
    <x v="0"/>
    <n v="0"/>
    <n v="2997"/>
    <n v="2997"/>
    <n v="2997"/>
  </r>
  <r>
    <x v="180"/>
    <x v="60"/>
    <x v="57"/>
    <x v="1"/>
    <x v="10"/>
    <n v="1"/>
    <n v="1799"/>
    <n v="0.15"/>
    <x v="3"/>
    <s v="Credit Card"/>
    <x v="1"/>
    <n v="269.85000000000014"/>
    <n v="1799"/>
    <n v="1529.1499999999999"/>
    <n v="0"/>
  </r>
  <r>
    <x v="181"/>
    <x v="61"/>
    <x v="7"/>
    <x v="3"/>
    <x v="6"/>
    <n v="2"/>
    <n v="899"/>
    <n v="0"/>
    <x v="1"/>
    <s v="Cash on Delivery"/>
    <x v="1"/>
    <n v="0"/>
    <n v="1798"/>
    <n v="1798"/>
    <n v="0"/>
  </r>
  <r>
    <x v="182"/>
    <x v="62"/>
    <x v="83"/>
    <x v="1"/>
    <x v="12"/>
    <n v="1"/>
    <n v="2299"/>
    <n v="0.15"/>
    <x v="1"/>
    <s v="Net Banking"/>
    <x v="0"/>
    <n v="344.85000000000014"/>
    <n v="2299"/>
    <n v="1954.1499999999999"/>
    <n v="1954.1499999999999"/>
  </r>
  <r>
    <x v="183"/>
    <x v="63"/>
    <x v="33"/>
    <x v="0"/>
    <x v="14"/>
    <n v="1"/>
    <n v="1499"/>
    <n v="0.1"/>
    <x v="2"/>
    <s v="Credit Card"/>
    <x v="0"/>
    <n v="149.89999999999986"/>
    <n v="1499"/>
    <n v="1349.1000000000001"/>
    <n v="1349.1000000000001"/>
  </r>
  <r>
    <x v="184"/>
    <x v="63"/>
    <x v="27"/>
    <x v="0"/>
    <x v="0"/>
    <n v="3"/>
    <n v="499"/>
    <n v="0.15"/>
    <x v="2"/>
    <s v="Cash on Delivery"/>
    <x v="0"/>
    <n v="224.54999999999995"/>
    <n v="1497"/>
    <n v="1272.45"/>
    <n v="1272.45"/>
  </r>
  <r>
    <x v="185"/>
    <x v="63"/>
    <x v="28"/>
    <x v="3"/>
    <x v="4"/>
    <n v="4"/>
    <n v="499"/>
    <n v="0.15"/>
    <x v="1"/>
    <s v="Debit Card"/>
    <x v="0"/>
    <n v="299.40000000000009"/>
    <n v="1996"/>
    <n v="1696.6"/>
    <n v="1696.6"/>
  </r>
  <r>
    <x v="186"/>
    <x v="63"/>
    <x v="56"/>
    <x v="1"/>
    <x v="15"/>
    <n v="2"/>
    <n v="999"/>
    <n v="0.2"/>
    <x v="0"/>
    <s v="Credit Card"/>
    <x v="0"/>
    <n v="399.59999999999991"/>
    <n v="1998"/>
    <n v="1598.4"/>
    <n v="1598.4"/>
  </r>
  <r>
    <x v="187"/>
    <x v="63"/>
    <x v="3"/>
    <x v="1"/>
    <x v="12"/>
    <n v="1"/>
    <n v="2299"/>
    <n v="0.15"/>
    <x v="2"/>
    <s v="Cash on Delivery"/>
    <x v="1"/>
    <n v="344.85000000000014"/>
    <n v="2299"/>
    <n v="1954.1499999999999"/>
    <n v="0"/>
  </r>
  <r>
    <x v="188"/>
    <x v="63"/>
    <x v="30"/>
    <x v="1"/>
    <x v="10"/>
    <n v="1"/>
    <n v="1799"/>
    <n v="0.2"/>
    <x v="3"/>
    <s v="Net Banking"/>
    <x v="0"/>
    <n v="359.79999999999995"/>
    <n v="1799"/>
    <n v="1439.2"/>
    <n v="1439.2"/>
  </r>
  <r>
    <x v="189"/>
    <x v="64"/>
    <x v="75"/>
    <x v="1"/>
    <x v="15"/>
    <n v="4"/>
    <n v="999"/>
    <n v="0.15"/>
    <x v="3"/>
    <s v="Credit Card"/>
    <x v="2"/>
    <n v="599.40000000000009"/>
    <n v="3996"/>
    <n v="3396.6"/>
    <n v="0"/>
  </r>
  <r>
    <x v="190"/>
    <x v="64"/>
    <x v="73"/>
    <x v="0"/>
    <x v="0"/>
    <n v="4"/>
    <n v="499"/>
    <n v="0.05"/>
    <x v="2"/>
    <s v="Cash on Delivery"/>
    <x v="0"/>
    <n v="99.800000000000182"/>
    <n v="1996"/>
    <n v="1896.1999999999998"/>
    <n v="1896.1999999999998"/>
  </r>
  <r>
    <x v="191"/>
    <x v="64"/>
    <x v="72"/>
    <x v="1"/>
    <x v="10"/>
    <n v="1"/>
    <n v="1799"/>
    <n v="0.2"/>
    <x v="1"/>
    <s v="UPI"/>
    <x v="2"/>
    <n v="359.79999999999995"/>
    <n v="1799"/>
    <n v="1439.2"/>
    <n v="0"/>
  </r>
  <r>
    <x v="192"/>
    <x v="65"/>
    <x v="58"/>
    <x v="3"/>
    <x v="3"/>
    <n v="4"/>
    <n v="6499"/>
    <n v="0.1"/>
    <x v="3"/>
    <s v="UPI"/>
    <x v="0"/>
    <n v="2599.5999999999985"/>
    <n v="25996"/>
    <n v="23396.400000000001"/>
    <n v="23396.400000000001"/>
  </r>
  <r>
    <x v="193"/>
    <x v="66"/>
    <x v="66"/>
    <x v="2"/>
    <x v="17"/>
    <n v="1"/>
    <n v="249"/>
    <n v="0.05"/>
    <x v="1"/>
    <s v="Cash on Delivery"/>
    <x v="2"/>
    <n v="12.450000000000017"/>
    <n v="249"/>
    <n v="236.54999999999998"/>
    <n v="0"/>
  </r>
  <r>
    <x v="194"/>
    <x v="66"/>
    <x v="64"/>
    <x v="0"/>
    <x v="0"/>
    <n v="2"/>
    <n v="499"/>
    <n v="0.2"/>
    <x v="2"/>
    <s v="Debit Card"/>
    <x v="2"/>
    <n v="199.59999999999991"/>
    <n v="998"/>
    <n v="798.40000000000009"/>
    <n v="0"/>
  </r>
  <r>
    <x v="195"/>
    <x v="67"/>
    <x v="1"/>
    <x v="1"/>
    <x v="10"/>
    <n v="2"/>
    <n v="1799"/>
    <n v="0.2"/>
    <x v="2"/>
    <s v="Net Banking"/>
    <x v="1"/>
    <n v="719.59999999999991"/>
    <n v="3598"/>
    <n v="2878.4"/>
    <n v="0"/>
  </r>
  <r>
    <x v="196"/>
    <x v="67"/>
    <x v="44"/>
    <x v="1"/>
    <x v="12"/>
    <n v="3"/>
    <n v="2299"/>
    <n v="0.15"/>
    <x v="2"/>
    <s v="Cash on Delivery"/>
    <x v="0"/>
    <n v="1034.5500000000002"/>
    <n v="6897"/>
    <n v="5862.45"/>
    <n v="5862.45"/>
  </r>
  <r>
    <x v="197"/>
    <x v="67"/>
    <x v="2"/>
    <x v="2"/>
    <x v="13"/>
    <n v="3"/>
    <n v="299"/>
    <n v="0.1"/>
    <x v="2"/>
    <s v="Net Banking"/>
    <x v="1"/>
    <n v="89.699999999999932"/>
    <n v="897"/>
    <n v="807.30000000000007"/>
    <n v="0"/>
  </r>
  <r>
    <x v="198"/>
    <x v="68"/>
    <x v="14"/>
    <x v="0"/>
    <x v="9"/>
    <n v="1"/>
    <n v="299"/>
    <n v="0.2"/>
    <x v="3"/>
    <s v="Credit Card"/>
    <x v="0"/>
    <n v="59.799999999999983"/>
    <n v="299"/>
    <n v="239.20000000000002"/>
    <n v="239.20000000000002"/>
  </r>
  <r>
    <x v="199"/>
    <x v="69"/>
    <x v="86"/>
    <x v="1"/>
    <x v="1"/>
    <n v="2"/>
    <n v="1299"/>
    <n v="0.2"/>
    <x v="3"/>
    <s v="Debit Card"/>
    <x v="0"/>
    <n v="519.59999999999991"/>
    <n v="2598"/>
    <n v="2078.4"/>
    <n v="2078.4"/>
  </r>
  <r>
    <x v="200"/>
    <x v="69"/>
    <x v="36"/>
    <x v="1"/>
    <x v="10"/>
    <n v="1"/>
    <n v="1799"/>
    <n v="0.05"/>
    <x v="2"/>
    <s v="Credit Card"/>
    <x v="2"/>
    <n v="89.950000000000045"/>
    <n v="1799"/>
    <n v="1709.05"/>
    <n v="0"/>
  </r>
  <r>
    <x v="201"/>
    <x v="70"/>
    <x v="62"/>
    <x v="2"/>
    <x v="5"/>
    <n v="2"/>
    <n v="199"/>
    <n v="0.2"/>
    <x v="2"/>
    <s v="Cash on Delivery"/>
    <x v="0"/>
    <n v="79.599999999999966"/>
    <n v="398"/>
    <n v="318.40000000000003"/>
    <n v="318.40000000000003"/>
  </r>
  <r>
    <x v="202"/>
    <x v="70"/>
    <x v="76"/>
    <x v="3"/>
    <x v="16"/>
    <n v="3"/>
    <n v="1599"/>
    <n v="0.05"/>
    <x v="2"/>
    <s v="Debit Card"/>
    <x v="0"/>
    <n v="239.85000000000036"/>
    <n v="4797"/>
    <n v="4557.1499999999996"/>
    <n v="4557.1499999999996"/>
  </r>
  <r>
    <x v="203"/>
    <x v="70"/>
    <x v="31"/>
    <x v="0"/>
    <x v="19"/>
    <n v="1"/>
    <n v="699"/>
    <n v="0.1"/>
    <x v="1"/>
    <s v="Net Banking"/>
    <x v="2"/>
    <n v="69.899999999999977"/>
    <n v="699"/>
    <n v="629.1"/>
    <n v="0"/>
  </r>
  <r>
    <x v="204"/>
    <x v="70"/>
    <x v="87"/>
    <x v="3"/>
    <x v="6"/>
    <n v="3"/>
    <n v="899"/>
    <n v="0.15"/>
    <x v="0"/>
    <s v="Credit Card"/>
    <x v="0"/>
    <n v="404.55000000000018"/>
    <n v="2697"/>
    <n v="2292.4499999999998"/>
    <n v="2292.4499999999998"/>
  </r>
  <r>
    <x v="205"/>
    <x v="71"/>
    <x v="12"/>
    <x v="3"/>
    <x v="3"/>
    <n v="1"/>
    <n v="6499"/>
    <n v="0.2"/>
    <x v="1"/>
    <s v="Net Banking"/>
    <x v="0"/>
    <n v="1299.7999999999993"/>
    <n v="6499"/>
    <n v="5199.2000000000007"/>
    <n v="5199.2000000000007"/>
  </r>
  <r>
    <x v="206"/>
    <x v="71"/>
    <x v="22"/>
    <x v="0"/>
    <x v="0"/>
    <n v="1"/>
    <n v="499"/>
    <n v="0"/>
    <x v="3"/>
    <s v="Cash on Delivery"/>
    <x v="0"/>
    <n v="0"/>
    <n v="499"/>
    <n v="499"/>
    <n v="499"/>
  </r>
  <r>
    <x v="207"/>
    <x v="71"/>
    <x v="11"/>
    <x v="3"/>
    <x v="7"/>
    <n v="1"/>
    <n v="599"/>
    <n v="0.15"/>
    <x v="0"/>
    <s v="Cash on Delivery"/>
    <x v="0"/>
    <n v="89.850000000000023"/>
    <n v="599"/>
    <n v="509.15"/>
    <n v="509.15"/>
  </r>
  <r>
    <x v="208"/>
    <x v="71"/>
    <x v="83"/>
    <x v="1"/>
    <x v="15"/>
    <n v="1"/>
    <n v="999"/>
    <n v="0.2"/>
    <x v="0"/>
    <s v="Net Banking"/>
    <x v="0"/>
    <n v="199.79999999999995"/>
    <n v="999"/>
    <n v="799.2"/>
    <n v="799.2"/>
  </r>
  <r>
    <x v="209"/>
    <x v="71"/>
    <x v="86"/>
    <x v="1"/>
    <x v="12"/>
    <n v="3"/>
    <n v="2299"/>
    <n v="0.1"/>
    <x v="1"/>
    <s v="UPI"/>
    <x v="0"/>
    <n v="689.69999999999982"/>
    <n v="6897"/>
    <n v="6207.3"/>
    <n v="6207.3"/>
  </r>
  <r>
    <x v="210"/>
    <x v="71"/>
    <x v="45"/>
    <x v="3"/>
    <x v="4"/>
    <n v="1"/>
    <n v="499"/>
    <n v="0.1"/>
    <x v="1"/>
    <s v="UPI"/>
    <x v="0"/>
    <n v="49.899999999999977"/>
    <n v="499"/>
    <n v="449.1"/>
    <n v="449.1"/>
  </r>
  <r>
    <x v="211"/>
    <x v="71"/>
    <x v="9"/>
    <x v="0"/>
    <x v="18"/>
    <n v="2"/>
    <n v="1199"/>
    <n v="0.05"/>
    <x v="2"/>
    <s v="Debit Card"/>
    <x v="2"/>
    <n v="119.90000000000009"/>
    <n v="2398"/>
    <n v="2278.1"/>
    <n v="0"/>
  </r>
  <r>
    <x v="212"/>
    <x v="72"/>
    <x v="26"/>
    <x v="3"/>
    <x v="7"/>
    <n v="1"/>
    <n v="599"/>
    <n v="0.2"/>
    <x v="3"/>
    <s v="UPI"/>
    <x v="0"/>
    <n v="119.79999999999995"/>
    <n v="599"/>
    <n v="479.20000000000005"/>
    <n v="479.20000000000005"/>
  </r>
  <r>
    <x v="213"/>
    <x v="73"/>
    <x v="88"/>
    <x v="1"/>
    <x v="15"/>
    <n v="2"/>
    <n v="999"/>
    <n v="0.1"/>
    <x v="1"/>
    <s v="Cash on Delivery"/>
    <x v="0"/>
    <n v="199.79999999999995"/>
    <n v="1998"/>
    <n v="1798.2"/>
    <n v="1798.2"/>
  </r>
  <r>
    <x v="214"/>
    <x v="73"/>
    <x v="64"/>
    <x v="2"/>
    <x v="17"/>
    <n v="3"/>
    <n v="249"/>
    <n v="0.2"/>
    <x v="2"/>
    <s v="Debit Card"/>
    <x v="0"/>
    <n v="149.39999999999998"/>
    <n v="747"/>
    <n v="597.6"/>
    <n v="597.6"/>
  </r>
  <r>
    <x v="215"/>
    <x v="74"/>
    <x v="86"/>
    <x v="0"/>
    <x v="14"/>
    <n v="1"/>
    <n v="1499"/>
    <n v="0.15"/>
    <x v="0"/>
    <s v="Debit Card"/>
    <x v="0"/>
    <n v="224.85000000000014"/>
    <n v="1499"/>
    <n v="1274.1499999999999"/>
    <n v="1274.1499999999999"/>
  </r>
  <r>
    <x v="216"/>
    <x v="74"/>
    <x v="35"/>
    <x v="0"/>
    <x v="18"/>
    <n v="1"/>
    <n v="1199"/>
    <n v="0.2"/>
    <x v="2"/>
    <s v="Debit Card"/>
    <x v="0"/>
    <n v="239.79999999999995"/>
    <n v="1199"/>
    <n v="959.2"/>
    <n v="959.2"/>
  </r>
  <r>
    <x v="217"/>
    <x v="74"/>
    <x v="89"/>
    <x v="1"/>
    <x v="12"/>
    <n v="1"/>
    <n v="2299"/>
    <n v="0.05"/>
    <x v="2"/>
    <s v="Cash on Delivery"/>
    <x v="1"/>
    <n v="114.95000000000027"/>
    <n v="2299"/>
    <n v="2184.0499999999997"/>
    <n v="0"/>
  </r>
  <r>
    <x v="218"/>
    <x v="75"/>
    <x v="69"/>
    <x v="2"/>
    <x v="13"/>
    <n v="5"/>
    <n v="299"/>
    <n v="0.05"/>
    <x v="1"/>
    <s v="Cash on Delivery"/>
    <x v="1"/>
    <n v="74.75"/>
    <n v="1495"/>
    <n v="1420.25"/>
    <n v="0"/>
  </r>
  <r>
    <x v="219"/>
    <x v="76"/>
    <x v="36"/>
    <x v="1"/>
    <x v="10"/>
    <n v="1"/>
    <n v="1799"/>
    <n v="0.15"/>
    <x v="0"/>
    <s v="Net Banking"/>
    <x v="1"/>
    <n v="269.85000000000014"/>
    <n v="1799"/>
    <n v="1529.1499999999999"/>
    <n v="0"/>
  </r>
  <r>
    <x v="220"/>
    <x v="76"/>
    <x v="36"/>
    <x v="2"/>
    <x v="11"/>
    <n v="2"/>
    <n v="399"/>
    <n v="0.2"/>
    <x v="1"/>
    <s v="Net Banking"/>
    <x v="0"/>
    <n v="159.59999999999991"/>
    <n v="798"/>
    <n v="638.40000000000009"/>
    <n v="638.40000000000009"/>
  </r>
  <r>
    <x v="221"/>
    <x v="77"/>
    <x v="42"/>
    <x v="2"/>
    <x v="5"/>
    <n v="1"/>
    <n v="199"/>
    <n v="0.05"/>
    <x v="2"/>
    <s v="Cash on Delivery"/>
    <x v="0"/>
    <n v="9.9500000000000171"/>
    <n v="199"/>
    <n v="189.04999999999998"/>
    <n v="189.04999999999998"/>
  </r>
  <r>
    <x v="222"/>
    <x v="77"/>
    <x v="40"/>
    <x v="1"/>
    <x v="8"/>
    <n v="1"/>
    <n v="799"/>
    <n v="0.15"/>
    <x v="3"/>
    <s v="Cash on Delivery"/>
    <x v="0"/>
    <n v="119.85000000000002"/>
    <n v="799"/>
    <n v="679.15"/>
    <n v="679.15"/>
  </r>
  <r>
    <x v="223"/>
    <x v="77"/>
    <x v="24"/>
    <x v="1"/>
    <x v="8"/>
    <n v="3"/>
    <n v="799"/>
    <n v="0"/>
    <x v="2"/>
    <s v="Debit Card"/>
    <x v="0"/>
    <n v="0"/>
    <n v="2397"/>
    <n v="2397"/>
    <n v="2397"/>
  </r>
  <r>
    <x v="224"/>
    <x v="77"/>
    <x v="41"/>
    <x v="2"/>
    <x v="17"/>
    <n v="1"/>
    <n v="249"/>
    <n v="0"/>
    <x v="0"/>
    <s v="Credit Card"/>
    <x v="1"/>
    <n v="0"/>
    <n v="249"/>
    <n v="249"/>
    <n v="0"/>
  </r>
  <r>
    <x v="225"/>
    <x v="78"/>
    <x v="81"/>
    <x v="0"/>
    <x v="9"/>
    <n v="2"/>
    <n v="299"/>
    <n v="0"/>
    <x v="1"/>
    <s v="Debit Card"/>
    <x v="2"/>
    <n v="0"/>
    <n v="598"/>
    <n v="598"/>
    <n v="0"/>
  </r>
  <r>
    <x v="226"/>
    <x v="78"/>
    <x v="31"/>
    <x v="1"/>
    <x v="15"/>
    <n v="3"/>
    <n v="999"/>
    <n v="0"/>
    <x v="0"/>
    <s v="Credit Card"/>
    <x v="2"/>
    <n v="0"/>
    <n v="2997"/>
    <n v="2997"/>
    <n v="0"/>
  </r>
  <r>
    <x v="227"/>
    <x v="79"/>
    <x v="3"/>
    <x v="3"/>
    <x v="7"/>
    <n v="1"/>
    <n v="599"/>
    <n v="0.2"/>
    <x v="2"/>
    <s v="Credit Card"/>
    <x v="0"/>
    <n v="119.79999999999995"/>
    <n v="599"/>
    <n v="479.20000000000005"/>
    <n v="479.20000000000005"/>
  </r>
  <r>
    <x v="228"/>
    <x v="79"/>
    <x v="76"/>
    <x v="2"/>
    <x v="5"/>
    <n v="3"/>
    <n v="199"/>
    <n v="0"/>
    <x v="3"/>
    <s v="Cash on Delivery"/>
    <x v="1"/>
    <n v="0"/>
    <n v="597"/>
    <n v="597"/>
    <n v="0"/>
  </r>
  <r>
    <x v="229"/>
    <x v="79"/>
    <x v="14"/>
    <x v="0"/>
    <x v="9"/>
    <n v="2"/>
    <n v="299"/>
    <n v="0.05"/>
    <x v="0"/>
    <s v="Cash on Delivery"/>
    <x v="2"/>
    <n v="29.899999999999977"/>
    <n v="598"/>
    <n v="568.1"/>
    <n v="0"/>
  </r>
  <r>
    <x v="230"/>
    <x v="80"/>
    <x v="72"/>
    <x v="1"/>
    <x v="15"/>
    <n v="2"/>
    <n v="999"/>
    <n v="0.05"/>
    <x v="0"/>
    <s v="Cash on Delivery"/>
    <x v="0"/>
    <n v="99.900000000000091"/>
    <n v="1998"/>
    <n v="1898.1"/>
    <n v="1898.1"/>
  </r>
  <r>
    <x v="231"/>
    <x v="81"/>
    <x v="62"/>
    <x v="3"/>
    <x v="16"/>
    <n v="2"/>
    <n v="1599"/>
    <n v="0.15"/>
    <x v="1"/>
    <s v="Net Banking"/>
    <x v="0"/>
    <n v="479.70000000000027"/>
    <n v="3198"/>
    <n v="2718.2999999999997"/>
    <n v="2718.2999999999997"/>
  </r>
  <r>
    <x v="232"/>
    <x v="81"/>
    <x v="6"/>
    <x v="1"/>
    <x v="15"/>
    <n v="3"/>
    <n v="999"/>
    <n v="0.1"/>
    <x v="0"/>
    <s v="UPI"/>
    <x v="0"/>
    <n v="299.69999999999982"/>
    <n v="2997"/>
    <n v="2697.3"/>
    <n v="2697.3"/>
  </r>
  <r>
    <x v="233"/>
    <x v="81"/>
    <x v="50"/>
    <x v="1"/>
    <x v="10"/>
    <n v="2"/>
    <n v="1799"/>
    <n v="0.1"/>
    <x v="1"/>
    <s v="Credit Card"/>
    <x v="2"/>
    <n v="359.79999999999973"/>
    <n v="3598"/>
    <n v="3238.2000000000003"/>
    <n v="0"/>
  </r>
  <r>
    <x v="234"/>
    <x v="81"/>
    <x v="58"/>
    <x v="3"/>
    <x v="4"/>
    <n v="1"/>
    <n v="499"/>
    <n v="0"/>
    <x v="3"/>
    <s v="Net Banking"/>
    <x v="1"/>
    <n v="0"/>
    <n v="499"/>
    <n v="499"/>
    <n v="0"/>
  </r>
  <r>
    <x v="235"/>
    <x v="81"/>
    <x v="52"/>
    <x v="1"/>
    <x v="15"/>
    <n v="1"/>
    <n v="999"/>
    <n v="0"/>
    <x v="1"/>
    <s v="Cash on Delivery"/>
    <x v="1"/>
    <n v="0"/>
    <n v="999"/>
    <n v="999"/>
    <n v="0"/>
  </r>
  <r>
    <x v="236"/>
    <x v="82"/>
    <x v="35"/>
    <x v="3"/>
    <x v="7"/>
    <n v="1"/>
    <n v="599"/>
    <n v="0.05"/>
    <x v="2"/>
    <s v="Debit Card"/>
    <x v="0"/>
    <n v="29.950000000000045"/>
    <n v="599"/>
    <n v="569.04999999999995"/>
    <n v="569.04999999999995"/>
  </r>
  <r>
    <x v="237"/>
    <x v="82"/>
    <x v="90"/>
    <x v="3"/>
    <x v="4"/>
    <n v="1"/>
    <n v="499"/>
    <n v="0.2"/>
    <x v="2"/>
    <s v="Net Banking"/>
    <x v="0"/>
    <n v="99.799999999999955"/>
    <n v="499"/>
    <n v="399.20000000000005"/>
    <n v="399.20000000000005"/>
  </r>
  <r>
    <x v="238"/>
    <x v="82"/>
    <x v="50"/>
    <x v="0"/>
    <x v="19"/>
    <n v="2"/>
    <n v="699"/>
    <n v="0.05"/>
    <x v="0"/>
    <s v="Credit Card"/>
    <x v="0"/>
    <n v="69.900000000000091"/>
    <n v="1398"/>
    <n v="1328.1"/>
    <n v="1328.1"/>
  </r>
  <r>
    <x v="239"/>
    <x v="83"/>
    <x v="81"/>
    <x v="2"/>
    <x v="11"/>
    <n v="3"/>
    <n v="399"/>
    <n v="0.15"/>
    <x v="0"/>
    <s v="Net Banking"/>
    <x v="0"/>
    <n v="179.55000000000007"/>
    <n v="1197"/>
    <n v="1017.4499999999999"/>
    <n v="1017.4499999999999"/>
  </r>
  <r>
    <x v="240"/>
    <x v="83"/>
    <x v="76"/>
    <x v="3"/>
    <x v="3"/>
    <n v="2"/>
    <n v="6499"/>
    <n v="0.05"/>
    <x v="3"/>
    <s v="UPI"/>
    <x v="0"/>
    <n v="649.90000000000146"/>
    <n v="12998"/>
    <n v="12348.099999999999"/>
    <n v="12348.099999999999"/>
  </r>
  <r>
    <x v="241"/>
    <x v="83"/>
    <x v="7"/>
    <x v="1"/>
    <x v="10"/>
    <n v="1"/>
    <n v="1799"/>
    <n v="0.15"/>
    <x v="3"/>
    <s v="UPI"/>
    <x v="0"/>
    <n v="269.85000000000014"/>
    <n v="1799"/>
    <n v="1529.1499999999999"/>
    <n v="1529.1499999999999"/>
  </r>
  <r>
    <x v="242"/>
    <x v="83"/>
    <x v="28"/>
    <x v="1"/>
    <x v="12"/>
    <n v="2"/>
    <n v="2299"/>
    <n v="0.15"/>
    <x v="0"/>
    <s v="Cash on Delivery"/>
    <x v="2"/>
    <n v="689.70000000000027"/>
    <n v="4598"/>
    <n v="3908.2999999999997"/>
    <n v="0"/>
  </r>
  <r>
    <x v="243"/>
    <x v="83"/>
    <x v="5"/>
    <x v="3"/>
    <x v="6"/>
    <n v="1"/>
    <n v="899"/>
    <n v="0.1"/>
    <x v="1"/>
    <s v="Cash on Delivery"/>
    <x v="0"/>
    <n v="89.899999999999977"/>
    <n v="899"/>
    <n v="809.1"/>
    <n v="809.1"/>
  </r>
  <r>
    <x v="244"/>
    <x v="84"/>
    <x v="17"/>
    <x v="2"/>
    <x v="11"/>
    <n v="1"/>
    <n v="399"/>
    <n v="0.2"/>
    <x v="2"/>
    <s v="UPI"/>
    <x v="1"/>
    <n v="79.799999999999955"/>
    <n v="399"/>
    <n v="319.20000000000005"/>
    <n v="0"/>
  </r>
  <r>
    <x v="245"/>
    <x v="84"/>
    <x v="53"/>
    <x v="0"/>
    <x v="0"/>
    <n v="3"/>
    <n v="499"/>
    <n v="0.1"/>
    <x v="1"/>
    <s v="Net Banking"/>
    <x v="0"/>
    <n v="149.70000000000005"/>
    <n v="1497"/>
    <n v="1347.3"/>
    <n v="1347.3"/>
  </r>
  <r>
    <x v="246"/>
    <x v="85"/>
    <x v="76"/>
    <x v="1"/>
    <x v="12"/>
    <n v="2"/>
    <n v="2299"/>
    <n v="0"/>
    <x v="3"/>
    <s v="UPI"/>
    <x v="0"/>
    <n v="0"/>
    <n v="4598"/>
    <n v="4598"/>
    <n v="4598"/>
  </r>
  <r>
    <x v="247"/>
    <x v="85"/>
    <x v="18"/>
    <x v="2"/>
    <x v="17"/>
    <n v="2"/>
    <n v="249"/>
    <n v="0.15"/>
    <x v="0"/>
    <s v="Cash on Delivery"/>
    <x v="2"/>
    <n v="74.699999999999989"/>
    <n v="498"/>
    <n v="423.3"/>
    <n v="0"/>
  </r>
  <r>
    <x v="248"/>
    <x v="85"/>
    <x v="66"/>
    <x v="0"/>
    <x v="0"/>
    <n v="2"/>
    <n v="499"/>
    <n v="0"/>
    <x v="3"/>
    <s v="Credit Card"/>
    <x v="2"/>
    <n v="0"/>
    <n v="998"/>
    <n v="998"/>
    <n v="0"/>
  </r>
  <r>
    <x v="249"/>
    <x v="85"/>
    <x v="91"/>
    <x v="2"/>
    <x v="2"/>
    <n v="1"/>
    <n v="349"/>
    <n v="0.2"/>
    <x v="2"/>
    <s v="Credit Card"/>
    <x v="0"/>
    <n v="69.800000000000011"/>
    <n v="349"/>
    <n v="279.2"/>
    <n v="279.2"/>
  </r>
  <r>
    <x v="250"/>
    <x v="86"/>
    <x v="26"/>
    <x v="2"/>
    <x v="13"/>
    <n v="1"/>
    <n v="299"/>
    <n v="0.05"/>
    <x v="3"/>
    <s v="Debit Card"/>
    <x v="1"/>
    <n v="14.949999999999989"/>
    <n v="299"/>
    <n v="284.05"/>
    <n v="0"/>
  </r>
  <r>
    <x v="251"/>
    <x v="86"/>
    <x v="67"/>
    <x v="1"/>
    <x v="12"/>
    <n v="1"/>
    <n v="2299"/>
    <n v="0.2"/>
    <x v="2"/>
    <s v="Cash on Delivery"/>
    <x v="0"/>
    <n v="459.79999999999995"/>
    <n v="2299"/>
    <n v="1839.2"/>
    <n v="1839.2"/>
  </r>
  <r>
    <x v="252"/>
    <x v="86"/>
    <x v="92"/>
    <x v="3"/>
    <x v="6"/>
    <n v="3"/>
    <n v="899"/>
    <n v="0"/>
    <x v="3"/>
    <s v="Cash on Delivery"/>
    <x v="0"/>
    <n v="0"/>
    <n v="2697"/>
    <n v="2697"/>
    <n v="2697"/>
  </r>
  <r>
    <x v="253"/>
    <x v="87"/>
    <x v="37"/>
    <x v="0"/>
    <x v="0"/>
    <n v="1"/>
    <n v="499"/>
    <n v="0.05"/>
    <x v="2"/>
    <s v="UPI"/>
    <x v="0"/>
    <n v="24.950000000000045"/>
    <n v="499"/>
    <n v="474.04999999999995"/>
    <n v="474.04999999999995"/>
  </r>
  <r>
    <x v="254"/>
    <x v="87"/>
    <x v="33"/>
    <x v="2"/>
    <x v="11"/>
    <n v="2"/>
    <n v="399"/>
    <n v="0.15"/>
    <x v="1"/>
    <s v="Credit Card"/>
    <x v="0"/>
    <n v="119.70000000000005"/>
    <n v="798"/>
    <n v="678.3"/>
    <n v="678.3"/>
  </r>
  <r>
    <x v="255"/>
    <x v="87"/>
    <x v="81"/>
    <x v="1"/>
    <x v="12"/>
    <n v="1"/>
    <n v="2299"/>
    <n v="0.05"/>
    <x v="0"/>
    <s v="UPI"/>
    <x v="1"/>
    <n v="114.95000000000027"/>
    <n v="2299"/>
    <n v="2184.0499999999997"/>
    <n v="0"/>
  </r>
  <r>
    <x v="256"/>
    <x v="87"/>
    <x v="59"/>
    <x v="0"/>
    <x v="18"/>
    <n v="1"/>
    <n v="1199"/>
    <n v="0"/>
    <x v="3"/>
    <s v="Credit Card"/>
    <x v="0"/>
    <n v="0"/>
    <n v="1199"/>
    <n v="1199"/>
    <n v="1199"/>
  </r>
  <r>
    <x v="257"/>
    <x v="88"/>
    <x v="88"/>
    <x v="1"/>
    <x v="12"/>
    <n v="2"/>
    <n v="2299"/>
    <n v="0.15"/>
    <x v="0"/>
    <s v="Cash on Delivery"/>
    <x v="0"/>
    <n v="689.70000000000027"/>
    <n v="4598"/>
    <n v="3908.2999999999997"/>
    <n v="3908.2999999999997"/>
  </r>
  <r>
    <x v="258"/>
    <x v="88"/>
    <x v="61"/>
    <x v="1"/>
    <x v="10"/>
    <n v="2"/>
    <n v="1799"/>
    <n v="0.1"/>
    <x v="3"/>
    <s v="UPI"/>
    <x v="0"/>
    <n v="359.79999999999973"/>
    <n v="3598"/>
    <n v="3238.2000000000003"/>
    <n v="3238.2000000000003"/>
  </r>
  <r>
    <x v="259"/>
    <x v="89"/>
    <x v="11"/>
    <x v="0"/>
    <x v="0"/>
    <n v="1"/>
    <n v="499"/>
    <n v="0.2"/>
    <x v="1"/>
    <s v="Cash on Delivery"/>
    <x v="0"/>
    <n v="99.799999999999955"/>
    <n v="499"/>
    <n v="399.20000000000005"/>
    <n v="399.20000000000005"/>
  </r>
  <r>
    <x v="260"/>
    <x v="89"/>
    <x v="89"/>
    <x v="2"/>
    <x v="17"/>
    <n v="1"/>
    <n v="249"/>
    <n v="0.1"/>
    <x v="1"/>
    <s v="Debit Card"/>
    <x v="1"/>
    <n v="24.900000000000006"/>
    <n v="249"/>
    <n v="224.1"/>
    <n v="0"/>
  </r>
  <r>
    <x v="261"/>
    <x v="89"/>
    <x v="93"/>
    <x v="3"/>
    <x v="16"/>
    <n v="1"/>
    <n v="1599"/>
    <n v="0.2"/>
    <x v="0"/>
    <s v="Net Banking"/>
    <x v="0"/>
    <n v="319.79999999999995"/>
    <n v="1599"/>
    <n v="1279.2"/>
    <n v="1279.2"/>
  </r>
  <r>
    <x v="262"/>
    <x v="89"/>
    <x v="45"/>
    <x v="1"/>
    <x v="10"/>
    <n v="2"/>
    <n v="1799"/>
    <n v="0"/>
    <x v="1"/>
    <s v="Cash on Delivery"/>
    <x v="1"/>
    <n v="0"/>
    <n v="3598"/>
    <n v="3598"/>
    <n v="0"/>
  </r>
  <r>
    <x v="263"/>
    <x v="90"/>
    <x v="13"/>
    <x v="2"/>
    <x v="17"/>
    <n v="2"/>
    <n v="249"/>
    <n v="0.1"/>
    <x v="0"/>
    <s v="Debit Card"/>
    <x v="0"/>
    <n v="49.800000000000011"/>
    <n v="498"/>
    <n v="448.2"/>
    <n v="448.2"/>
  </r>
  <r>
    <x v="264"/>
    <x v="90"/>
    <x v="54"/>
    <x v="2"/>
    <x v="17"/>
    <n v="1"/>
    <n v="249"/>
    <n v="0.2"/>
    <x v="0"/>
    <s v="Debit Card"/>
    <x v="0"/>
    <n v="49.799999999999983"/>
    <n v="249"/>
    <n v="199.20000000000002"/>
    <n v="199.20000000000002"/>
  </r>
  <r>
    <x v="265"/>
    <x v="90"/>
    <x v="61"/>
    <x v="2"/>
    <x v="2"/>
    <n v="1"/>
    <n v="349"/>
    <n v="0.05"/>
    <x v="0"/>
    <s v="Debit Card"/>
    <x v="0"/>
    <n v="17.449999999999989"/>
    <n v="349"/>
    <n v="331.55"/>
    <n v="331.55"/>
  </r>
  <r>
    <x v="266"/>
    <x v="91"/>
    <x v="77"/>
    <x v="2"/>
    <x v="2"/>
    <n v="1"/>
    <n v="349"/>
    <n v="0.15"/>
    <x v="2"/>
    <s v="Net Banking"/>
    <x v="2"/>
    <n v="52.350000000000023"/>
    <n v="349"/>
    <n v="296.64999999999998"/>
    <n v="0"/>
  </r>
  <r>
    <x v="267"/>
    <x v="92"/>
    <x v="4"/>
    <x v="2"/>
    <x v="17"/>
    <n v="1"/>
    <n v="249"/>
    <n v="0.2"/>
    <x v="2"/>
    <s v="Credit Card"/>
    <x v="0"/>
    <n v="49.799999999999983"/>
    <n v="249"/>
    <n v="199.20000000000002"/>
    <n v="199.20000000000002"/>
  </r>
  <r>
    <x v="268"/>
    <x v="92"/>
    <x v="41"/>
    <x v="2"/>
    <x v="13"/>
    <n v="1"/>
    <n v="299"/>
    <n v="0"/>
    <x v="1"/>
    <s v="Net Banking"/>
    <x v="0"/>
    <n v="0"/>
    <n v="299"/>
    <n v="299"/>
    <n v="299"/>
  </r>
  <r>
    <x v="269"/>
    <x v="93"/>
    <x v="80"/>
    <x v="1"/>
    <x v="15"/>
    <n v="4"/>
    <n v="999"/>
    <n v="0.05"/>
    <x v="0"/>
    <s v="Cash on Delivery"/>
    <x v="0"/>
    <n v="199.80000000000018"/>
    <n v="3996"/>
    <n v="3796.2"/>
    <n v="3796.2"/>
  </r>
  <r>
    <x v="270"/>
    <x v="93"/>
    <x v="59"/>
    <x v="0"/>
    <x v="9"/>
    <n v="2"/>
    <n v="299"/>
    <n v="0.05"/>
    <x v="1"/>
    <s v="UPI"/>
    <x v="0"/>
    <n v="29.899999999999977"/>
    <n v="598"/>
    <n v="568.1"/>
    <n v="568.1"/>
  </r>
  <r>
    <x v="271"/>
    <x v="94"/>
    <x v="44"/>
    <x v="0"/>
    <x v="14"/>
    <n v="3"/>
    <n v="1499"/>
    <n v="0.1"/>
    <x v="3"/>
    <s v="Cash on Delivery"/>
    <x v="0"/>
    <n v="449.69999999999982"/>
    <n v="4497"/>
    <n v="4047.3"/>
    <n v="4047.3"/>
  </r>
  <r>
    <x v="272"/>
    <x v="95"/>
    <x v="94"/>
    <x v="1"/>
    <x v="10"/>
    <n v="2"/>
    <n v="1799"/>
    <n v="0"/>
    <x v="0"/>
    <s v="Credit Card"/>
    <x v="1"/>
    <n v="0"/>
    <n v="3598"/>
    <n v="3598"/>
    <n v="0"/>
  </r>
  <r>
    <x v="273"/>
    <x v="96"/>
    <x v="88"/>
    <x v="3"/>
    <x v="7"/>
    <n v="1"/>
    <n v="599"/>
    <n v="0.2"/>
    <x v="1"/>
    <s v="Net Banking"/>
    <x v="1"/>
    <n v="119.79999999999995"/>
    <n v="599"/>
    <n v="479.20000000000005"/>
    <n v="0"/>
  </r>
  <r>
    <x v="274"/>
    <x v="96"/>
    <x v="46"/>
    <x v="2"/>
    <x v="5"/>
    <n v="1"/>
    <n v="199"/>
    <n v="0.2"/>
    <x v="2"/>
    <s v="Debit Card"/>
    <x v="0"/>
    <n v="39.799999999999983"/>
    <n v="199"/>
    <n v="159.20000000000002"/>
    <n v="159.20000000000002"/>
  </r>
  <r>
    <x v="275"/>
    <x v="96"/>
    <x v="21"/>
    <x v="0"/>
    <x v="18"/>
    <n v="1"/>
    <n v="1199"/>
    <n v="0.15"/>
    <x v="3"/>
    <s v="Credit Card"/>
    <x v="0"/>
    <n v="179.85000000000002"/>
    <n v="1199"/>
    <n v="1019.15"/>
    <n v="1019.15"/>
  </r>
  <r>
    <x v="276"/>
    <x v="97"/>
    <x v="75"/>
    <x v="1"/>
    <x v="15"/>
    <n v="1"/>
    <n v="999"/>
    <n v="0.15"/>
    <x v="1"/>
    <s v="Net Banking"/>
    <x v="0"/>
    <n v="149.85000000000002"/>
    <n v="999"/>
    <n v="849.15"/>
    <n v="849.15"/>
  </r>
  <r>
    <x v="277"/>
    <x v="97"/>
    <x v="8"/>
    <x v="1"/>
    <x v="12"/>
    <n v="4"/>
    <n v="2299"/>
    <n v="0.05"/>
    <x v="0"/>
    <s v="Credit Card"/>
    <x v="0"/>
    <n v="459.80000000000109"/>
    <n v="9196"/>
    <n v="8736.1999999999989"/>
    <n v="8736.1999999999989"/>
  </r>
  <r>
    <x v="278"/>
    <x v="97"/>
    <x v="54"/>
    <x v="0"/>
    <x v="0"/>
    <n v="2"/>
    <n v="499"/>
    <n v="0"/>
    <x v="0"/>
    <s v="Net Banking"/>
    <x v="0"/>
    <n v="0"/>
    <n v="998"/>
    <n v="998"/>
    <n v="998"/>
  </r>
  <r>
    <x v="279"/>
    <x v="97"/>
    <x v="42"/>
    <x v="1"/>
    <x v="10"/>
    <n v="1"/>
    <n v="1799"/>
    <n v="0.1"/>
    <x v="3"/>
    <s v="Net Banking"/>
    <x v="0"/>
    <n v="179.89999999999986"/>
    <n v="1799"/>
    <n v="1619.1000000000001"/>
    <n v="1619.1000000000001"/>
  </r>
  <r>
    <x v="280"/>
    <x v="97"/>
    <x v="60"/>
    <x v="3"/>
    <x v="7"/>
    <n v="2"/>
    <n v="599"/>
    <n v="0"/>
    <x v="1"/>
    <s v="UPI"/>
    <x v="2"/>
    <n v="0"/>
    <n v="1198"/>
    <n v="1198"/>
    <n v="0"/>
  </r>
  <r>
    <x v="281"/>
    <x v="98"/>
    <x v="64"/>
    <x v="2"/>
    <x v="17"/>
    <n v="1"/>
    <n v="249"/>
    <n v="0"/>
    <x v="1"/>
    <s v="Net Banking"/>
    <x v="0"/>
    <n v="0"/>
    <n v="249"/>
    <n v="249"/>
    <n v="249"/>
  </r>
  <r>
    <x v="282"/>
    <x v="98"/>
    <x v="80"/>
    <x v="3"/>
    <x v="7"/>
    <n v="4"/>
    <n v="599"/>
    <n v="0.2"/>
    <x v="1"/>
    <s v="Net Banking"/>
    <x v="0"/>
    <n v="479.19999999999982"/>
    <n v="2396"/>
    <n v="1916.8000000000002"/>
    <n v="1916.8000000000002"/>
  </r>
  <r>
    <x v="283"/>
    <x v="98"/>
    <x v="17"/>
    <x v="0"/>
    <x v="14"/>
    <n v="1"/>
    <n v="1499"/>
    <n v="0.1"/>
    <x v="2"/>
    <s v="Credit Card"/>
    <x v="0"/>
    <n v="149.89999999999986"/>
    <n v="1499"/>
    <n v="1349.1000000000001"/>
    <n v="1349.1000000000001"/>
  </r>
  <r>
    <x v="284"/>
    <x v="99"/>
    <x v="64"/>
    <x v="0"/>
    <x v="18"/>
    <n v="1"/>
    <n v="1199"/>
    <n v="0"/>
    <x v="1"/>
    <s v="Debit Card"/>
    <x v="1"/>
    <n v="0"/>
    <n v="1199"/>
    <n v="1199"/>
    <n v="0"/>
  </r>
  <r>
    <x v="285"/>
    <x v="99"/>
    <x v="5"/>
    <x v="3"/>
    <x v="3"/>
    <n v="1"/>
    <n v="6499"/>
    <n v="0.2"/>
    <x v="1"/>
    <s v="Cash on Delivery"/>
    <x v="1"/>
    <n v="1299.7999999999993"/>
    <n v="6499"/>
    <n v="5199.2000000000007"/>
    <n v="0"/>
  </r>
  <r>
    <x v="286"/>
    <x v="99"/>
    <x v="52"/>
    <x v="2"/>
    <x v="11"/>
    <n v="2"/>
    <n v="399"/>
    <n v="0.05"/>
    <x v="2"/>
    <s v="UPI"/>
    <x v="0"/>
    <n v="39.900000000000091"/>
    <n v="798"/>
    <n v="758.09999999999991"/>
    <n v="758.09999999999991"/>
  </r>
  <r>
    <x v="287"/>
    <x v="99"/>
    <x v="8"/>
    <x v="1"/>
    <x v="8"/>
    <n v="2"/>
    <n v="799"/>
    <n v="0.2"/>
    <x v="1"/>
    <s v="Debit Card"/>
    <x v="0"/>
    <n v="319.59999999999991"/>
    <n v="1598"/>
    <n v="1278.4000000000001"/>
    <n v="1278.4000000000001"/>
  </r>
  <r>
    <x v="288"/>
    <x v="99"/>
    <x v="53"/>
    <x v="2"/>
    <x v="17"/>
    <n v="1"/>
    <n v="249"/>
    <n v="0.2"/>
    <x v="0"/>
    <s v="Debit Card"/>
    <x v="2"/>
    <n v="49.799999999999983"/>
    <n v="249"/>
    <n v="199.20000000000002"/>
    <n v="0"/>
  </r>
  <r>
    <x v="289"/>
    <x v="100"/>
    <x v="28"/>
    <x v="2"/>
    <x v="2"/>
    <n v="2"/>
    <n v="349"/>
    <n v="0.15"/>
    <x v="1"/>
    <s v="Cash on Delivery"/>
    <x v="0"/>
    <n v="104.70000000000005"/>
    <n v="698"/>
    <n v="593.29999999999995"/>
    <n v="593.29999999999995"/>
  </r>
  <r>
    <x v="290"/>
    <x v="101"/>
    <x v="13"/>
    <x v="1"/>
    <x v="1"/>
    <n v="1"/>
    <n v="1299"/>
    <n v="0.05"/>
    <x v="1"/>
    <s v="Credit Card"/>
    <x v="2"/>
    <n v="64.950000000000045"/>
    <n v="1299"/>
    <n v="1234.05"/>
    <n v="0"/>
  </r>
  <r>
    <x v="291"/>
    <x v="101"/>
    <x v="95"/>
    <x v="1"/>
    <x v="1"/>
    <n v="4"/>
    <n v="1299"/>
    <n v="0.2"/>
    <x v="1"/>
    <s v="Debit Card"/>
    <x v="0"/>
    <n v="1039.1999999999998"/>
    <n v="5196"/>
    <n v="4156.8"/>
    <n v="4156.8"/>
  </r>
  <r>
    <x v="292"/>
    <x v="101"/>
    <x v="11"/>
    <x v="2"/>
    <x v="2"/>
    <n v="2"/>
    <n v="349"/>
    <n v="0.05"/>
    <x v="1"/>
    <s v="Debit Card"/>
    <x v="0"/>
    <n v="34.899999999999977"/>
    <n v="698"/>
    <n v="663.1"/>
    <n v="663.1"/>
  </r>
  <r>
    <x v="293"/>
    <x v="101"/>
    <x v="43"/>
    <x v="0"/>
    <x v="14"/>
    <n v="2"/>
    <n v="1499"/>
    <n v="0.05"/>
    <x v="0"/>
    <s v="Net Banking"/>
    <x v="0"/>
    <n v="149.90000000000009"/>
    <n v="2998"/>
    <n v="2848.1"/>
    <n v="2848.1"/>
  </r>
  <r>
    <x v="294"/>
    <x v="102"/>
    <x v="56"/>
    <x v="2"/>
    <x v="17"/>
    <n v="1"/>
    <n v="249"/>
    <n v="0.1"/>
    <x v="2"/>
    <s v="Debit Card"/>
    <x v="0"/>
    <n v="24.900000000000006"/>
    <n v="249"/>
    <n v="224.1"/>
    <n v="224.1"/>
  </r>
  <r>
    <x v="295"/>
    <x v="102"/>
    <x v="61"/>
    <x v="1"/>
    <x v="15"/>
    <n v="2"/>
    <n v="999"/>
    <n v="0.15"/>
    <x v="3"/>
    <s v="UPI"/>
    <x v="0"/>
    <n v="299.70000000000005"/>
    <n v="1998"/>
    <n v="1698.3"/>
    <n v="1698.3"/>
  </r>
  <r>
    <x v="296"/>
    <x v="102"/>
    <x v="91"/>
    <x v="0"/>
    <x v="19"/>
    <n v="1"/>
    <n v="699"/>
    <n v="0.2"/>
    <x v="2"/>
    <s v="Credit Card"/>
    <x v="2"/>
    <n v="139.79999999999995"/>
    <n v="699"/>
    <n v="559.20000000000005"/>
    <n v="0"/>
  </r>
  <r>
    <x v="297"/>
    <x v="102"/>
    <x v="40"/>
    <x v="1"/>
    <x v="8"/>
    <n v="2"/>
    <n v="799"/>
    <n v="0.05"/>
    <x v="1"/>
    <s v="UPI"/>
    <x v="1"/>
    <n v="79.900000000000091"/>
    <n v="1598"/>
    <n v="1518.1"/>
    <n v="0"/>
  </r>
  <r>
    <x v="298"/>
    <x v="103"/>
    <x v="25"/>
    <x v="2"/>
    <x v="5"/>
    <n v="1"/>
    <n v="199"/>
    <n v="0.2"/>
    <x v="3"/>
    <s v="Net Banking"/>
    <x v="1"/>
    <n v="39.799999999999983"/>
    <n v="199"/>
    <n v="159.20000000000002"/>
    <n v="0"/>
  </r>
  <r>
    <x v="299"/>
    <x v="103"/>
    <x v="3"/>
    <x v="3"/>
    <x v="7"/>
    <n v="1"/>
    <n v="599"/>
    <n v="0.15"/>
    <x v="3"/>
    <s v="Net Banking"/>
    <x v="0"/>
    <n v="89.850000000000023"/>
    <n v="599"/>
    <n v="509.15"/>
    <n v="509.15"/>
  </r>
  <r>
    <x v="300"/>
    <x v="103"/>
    <x v="69"/>
    <x v="3"/>
    <x v="7"/>
    <n v="1"/>
    <n v="599"/>
    <n v="0"/>
    <x v="2"/>
    <s v="UPI"/>
    <x v="0"/>
    <n v="0"/>
    <n v="599"/>
    <n v="599"/>
    <n v="599"/>
  </r>
  <r>
    <x v="301"/>
    <x v="104"/>
    <x v="1"/>
    <x v="3"/>
    <x v="16"/>
    <n v="1"/>
    <n v="1599"/>
    <n v="0.1"/>
    <x v="1"/>
    <s v="Cash on Delivery"/>
    <x v="0"/>
    <n v="159.89999999999986"/>
    <n v="1599"/>
    <n v="1439.1000000000001"/>
    <n v="1439.1000000000001"/>
  </r>
  <r>
    <x v="302"/>
    <x v="104"/>
    <x v="64"/>
    <x v="3"/>
    <x v="6"/>
    <n v="4"/>
    <n v="899"/>
    <n v="0.1"/>
    <x v="2"/>
    <s v="UPI"/>
    <x v="0"/>
    <n v="359.59999999999991"/>
    <n v="3596"/>
    <n v="3236.4"/>
    <n v="3236.4"/>
  </r>
  <r>
    <x v="303"/>
    <x v="104"/>
    <x v="20"/>
    <x v="0"/>
    <x v="9"/>
    <n v="1"/>
    <n v="299"/>
    <n v="0.05"/>
    <x v="3"/>
    <s v="Debit Card"/>
    <x v="0"/>
    <n v="14.949999999999989"/>
    <n v="299"/>
    <n v="284.05"/>
    <n v="284.05"/>
  </r>
  <r>
    <x v="304"/>
    <x v="104"/>
    <x v="74"/>
    <x v="0"/>
    <x v="14"/>
    <n v="1"/>
    <n v="1499"/>
    <n v="0.1"/>
    <x v="1"/>
    <s v="Cash on Delivery"/>
    <x v="0"/>
    <n v="149.89999999999986"/>
    <n v="1499"/>
    <n v="1349.1000000000001"/>
    <n v="1349.1000000000001"/>
  </r>
  <r>
    <x v="305"/>
    <x v="104"/>
    <x v="16"/>
    <x v="1"/>
    <x v="8"/>
    <n v="5"/>
    <n v="799"/>
    <n v="0.15"/>
    <x v="0"/>
    <s v="Credit Card"/>
    <x v="2"/>
    <n v="599.25"/>
    <n v="3995"/>
    <n v="3395.75"/>
    <n v="0"/>
  </r>
  <r>
    <x v="306"/>
    <x v="105"/>
    <x v="17"/>
    <x v="2"/>
    <x v="2"/>
    <n v="2"/>
    <n v="349"/>
    <n v="0"/>
    <x v="3"/>
    <s v="Credit Card"/>
    <x v="1"/>
    <n v="0"/>
    <n v="698"/>
    <n v="698"/>
    <n v="0"/>
  </r>
  <r>
    <x v="307"/>
    <x v="105"/>
    <x v="55"/>
    <x v="3"/>
    <x v="3"/>
    <n v="2"/>
    <n v="6499"/>
    <n v="0.05"/>
    <x v="3"/>
    <s v="Debit Card"/>
    <x v="1"/>
    <n v="649.90000000000146"/>
    <n v="12998"/>
    <n v="12348.099999999999"/>
    <n v="0"/>
  </r>
  <r>
    <x v="308"/>
    <x v="105"/>
    <x v="0"/>
    <x v="2"/>
    <x v="2"/>
    <n v="2"/>
    <n v="349"/>
    <n v="0.15"/>
    <x v="2"/>
    <s v="Debit Card"/>
    <x v="0"/>
    <n v="104.70000000000005"/>
    <n v="698"/>
    <n v="593.29999999999995"/>
    <n v="593.29999999999995"/>
  </r>
  <r>
    <x v="309"/>
    <x v="105"/>
    <x v="25"/>
    <x v="2"/>
    <x v="17"/>
    <n v="1"/>
    <n v="249"/>
    <n v="0.1"/>
    <x v="2"/>
    <s v="Debit Card"/>
    <x v="2"/>
    <n v="24.900000000000006"/>
    <n v="249"/>
    <n v="224.1"/>
    <n v="0"/>
  </r>
  <r>
    <x v="310"/>
    <x v="105"/>
    <x v="38"/>
    <x v="2"/>
    <x v="5"/>
    <n v="1"/>
    <n v="199"/>
    <n v="0.15"/>
    <x v="3"/>
    <s v="Credit Card"/>
    <x v="0"/>
    <n v="29.849999999999994"/>
    <n v="199"/>
    <n v="169.15"/>
    <n v="169.15"/>
  </r>
  <r>
    <x v="311"/>
    <x v="106"/>
    <x v="38"/>
    <x v="2"/>
    <x v="13"/>
    <n v="2"/>
    <n v="299"/>
    <n v="0"/>
    <x v="2"/>
    <s v="Cash on Delivery"/>
    <x v="0"/>
    <n v="0"/>
    <n v="598"/>
    <n v="598"/>
    <n v="598"/>
  </r>
  <r>
    <x v="312"/>
    <x v="106"/>
    <x v="87"/>
    <x v="2"/>
    <x v="11"/>
    <n v="1"/>
    <n v="399"/>
    <n v="0.2"/>
    <x v="0"/>
    <s v="Debit Card"/>
    <x v="0"/>
    <n v="79.799999999999955"/>
    <n v="399"/>
    <n v="319.20000000000005"/>
    <n v="319.20000000000005"/>
  </r>
  <r>
    <x v="313"/>
    <x v="106"/>
    <x v="63"/>
    <x v="0"/>
    <x v="14"/>
    <n v="2"/>
    <n v="1499"/>
    <n v="0.2"/>
    <x v="2"/>
    <s v="Cash on Delivery"/>
    <x v="0"/>
    <n v="599.59999999999991"/>
    <n v="2998"/>
    <n v="2398.4"/>
    <n v="2398.4"/>
  </r>
  <r>
    <x v="314"/>
    <x v="106"/>
    <x v="58"/>
    <x v="1"/>
    <x v="1"/>
    <n v="2"/>
    <n v="1299"/>
    <n v="0.2"/>
    <x v="0"/>
    <s v="Debit Card"/>
    <x v="0"/>
    <n v="519.59999999999991"/>
    <n v="2598"/>
    <n v="2078.4"/>
    <n v="2078.4"/>
  </r>
  <r>
    <x v="315"/>
    <x v="107"/>
    <x v="48"/>
    <x v="3"/>
    <x v="16"/>
    <n v="3"/>
    <n v="1599"/>
    <n v="0.15"/>
    <x v="1"/>
    <s v="Cash on Delivery"/>
    <x v="1"/>
    <n v="719.55000000000018"/>
    <n v="4797"/>
    <n v="4077.45"/>
    <n v="0"/>
  </r>
  <r>
    <x v="316"/>
    <x v="107"/>
    <x v="88"/>
    <x v="0"/>
    <x v="19"/>
    <n v="2"/>
    <n v="699"/>
    <n v="0"/>
    <x v="0"/>
    <s v="Debit Card"/>
    <x v="2"/>
    <n v="0"/>
    <n v="1398"/>
    <n v="1398"/>
    <n v="0"/>
  </r>
  <r>
    <x v="317"/>
    <x v="107"/>
    <x v="1"/>
    <x v="1"/>
    <x v="10"/>
    <n v="1"/>
    <n v="1799"/>
    <n v="0.1"/>
    <x v="1"/>
    <s v="Net Banking"/>
    <x v="0"/>
    <n v="179.89999999999986"/>
    <n v="1799"/>
    <n v="1619.1000000000001"/>
    <n v="1619.1000000000001"/>
  </r>
  <r>
    <x v="318"/>
    <x v="108"/>
    <x v="47"/>
    <x v="2"/>
    <x v="5"/>
    <n v="3"/>
    <n v="199"/>
    <n v="0.15"/>
    <x v="1"/>
    <s v="Net Banking"/>
    <x v="0"/>
    <n v="89.550000000000011"/>
    <n v="597"/>
    <n v="507.45"/>
    <n v="507.45"/>
  </r>
  <r>
    <x v="319"/>
    <x v="108"/>
    <x v="84"/>
    <x v="3"/>
    <x v="16"/>
    <n v="1"/>
    <n v="1599"/>
    <n v="0"/>
    <x v="0"/>
    <s v="Debit Card"/>
    <x v="0"/>
    <n v="0"/>
    <n v="1599"/>
    <n v="1599"/>
    <n v="1599"/>
  </r>
  <r>
    <x v="320"/>
    <x v="108"/>
    <x v="15"/>
    <x v="1"/>
    <x v="1"/>
    <n v="2"/>
    <n v="1299"/>
    <n v="0.2"/>
    <x v="2"/>
    <s v="Net Banking"/>
    <x v="0"/>
    <n v="519.59999999999991"/>
    <n v="2598"/>
    <n v="2078.4"/>
    <n v="2078.4"/>
  </r>
  <r>
    <x v="321"/>
    <x v="109"/>
    <x v="22"/>
    <x v="0"/>
    <x v="19"/>
    <n v="2"/>
    <n v="699"/>
    <n v="0.15"/>
    <x v="3"/>
    <s v="Net Banking"/>
    <x v="0"/>
    <n v="209.70000000000005"/>
    <n v="1398"/>
    <n v="1188.3"/>
    <n v="1188.3"/>
  </r>
  <r>
    <x v="322"/>
    <x v="110"/>
    <x v="37"/>
    <x v="0"/>
    <x v="18"/>
    <n v="5"/>
    <n v="1199"/>
    <n v="0.2"/>
    <x v="1"/>
    <s v="Net Banking"/>
    <x v="1"/>
    <n v="1199"/>
    <n v="5995"/>
    <n v="4796"/>
    <n v="0"/>
  </r>
  <r>
    <x v="323"/>
    <x v="110"/>
    <x v="66"/>
    <x v="3"/>
    <x v="16"/>
    <n v="2"/>
    <n v="1599"/>
    <n v="0"/>
    <x v="0"/>
    <s v="UPI"/>
    <x v="0"/>
    <n v="0"/>
    <n v="3198"/>
    <n v="3198"/>
    <n v="3198"/>
  </r>
  <r>
    <x v="324"/>
    <x v="110"/>
    <x v="55"/>
    <x v="0"/>
    <x v="0"/>
    <n v="1"/>
    <n v="499"/>
    <n v="0.15"/>
    <x v="0"/>
    <s v="Credit Card"/>
    <x v="0"/>
    <n v="74.850000000000023"/>
    <n v="499"/>
    <n v="424.15"/>
    <n v="424.15"/>
  </r>
  <r>
    <x v="325"/>
    <x v="110"/>
    <x v="50"/>
    <x v="3"/>
    <x v="3"/>
    <n v="1"/>
    <n v="6499"/>
    <n v="0.1"/>
    <x v="3"/>
    <s v="Net Banking"/>
    <x v="2"/>
    <n v="649.89999999999964"/>
    <n v="6499"/>
    <n v="5849.1"/>
    <n v="0"/>
  </r>
  <r>
    <x v="326"/>
    <x v="110"/>
    <x v="15"/>
    <x v="0"/>
    <x v="9"/>
    <n v="5"/>
    <n v="299"/>
    <n v="0.05"/>
    <x v="0"/>
    <s v="Credit Card"/>
    <x v="0"/>
    <n v="74.75"/>
    <n v="1495"/>
    <n v="1420.25"/>
    <n v="1420.25"/>
  </r>
  <r>
    <x v="327"/>
    <x v="110"/>
    <x v="52"/>
    <x v="3"/>
    <x v="6"/>
    <n v="4"/>
    <n v="899"/>
    <n v="0.15"/>
    <x v="2"/>
    <s v="Net Banking"/>
    <x v="0"/>
    <n v="539.40000000000009"/>
    <n v="3596"/>
    <n v="3056.6"/>
    <n v="3056.6"/>
  </r>
  <r>
    <x v="328"/>
    <x v="111"/>
    <x v="69"/>
    <x v="1"/>
    <x v="1"/>
    <n v="2"/>
    <n v="1299"/>
    <n v="0"/>
    <x v="3"/>
    <s v="Net Banking"/>
    <x v="2"/>
    <n v="0"/>
    <n v="2598"/>
    <n v="2598"/>
    <n v="0"/>
  </r>
  <r>
    <x v="329"/>
    <x v="111"/>
    <x v="88"/>
    <x v="3"/>
    <x v="16"/>
    <n v="2"/>
    <n v="1599"/>
    <n v="0.1"/>
    <x v="2"/>
    <s v="Net Banking"/>
    <x v="0"/>
    <n v="319.79999999999973"/>
    <n v="3198"/>
    <n v="2878.2000000000003"/>
    <n v="2878.2000000000003"/>
  </r>
  <r>
    <x v="330"/>
    <x v="111"/>
    <x v="1"/>
    <x v="1"/>
    <x v="12"/>
    <n v="3"/>
    <n v="2299"/>
    <n v="0.05"/>
    <x v="2"/>
    <s v="Cash on Delivery"/>
    <x v="0"/>
    <n v="344.85000000000036"/>
    <n v="6897"/>
    <n v="6552.15"/>
    <n v="6552.15"/>
  </r>
  <r>
    <x v="331"/>
    <x v="111"/>
    <x v="4"/>
    <x v="3"/>
    <x v="7"/>
    <n v="3"/>
    <n v="599"/>
    <n v="0.2"/>
    <x v="3"/>
    <s v="Credit Card"/>
    <x v="2"/>
    <n v="359.39999999999986"/>
    <n v="1797"/>
    <n v="1437.6000000000001"/>
    <n v="0"/>
  </r>
  <r>
    <x v="332"/>
    <x v="112"/>
    <x v="4"/>
    <x v="2"/>
    <x v="5"/>
    <n v="2"/>
    <n v="199"/>
    <n v="0.15"/>
    <x v="3"/>
    <s v="Debit Card"/>
    <x v="2"/>
    <n v="59.699999999999989"/>
    <n v="398"/>
    <n v="338.3"/>
    <n v="0"/>
  </r>
  <r>
    <x v="333"/>
    <x v="112"/>
    <x v="93"/>
    <x v="1"/>
    <x v="1"/>
    <n v="2"/>
    <n v="1299"/>
    <n v="0.2"/>
    <x v="0"/>
    <s v="Cash on Delivery"/>
    <x v="0"/>
    <n v="519.59999999999991"/>
    <n v="2598"/>
    <n v="2078.4"/>
    <n v="2078.4"/>
  </r>
  <r>
    <x v="334"/>
    <x v="112"/>
    <x v="82"/>
    <x v="1"/>
    <x v="12"/>
    <n v="1"/>
    <n v="2299"/>
    <n v="0.2"/>
    <x v="0"/>
    <s v="Net Banking"/>
    <x v="2"/>
    <n v="459.79999999999995"/>
    <n v="2299"/>
    <n v="1839.2"/>
    <n v="0"/>
  </r>
  <r>
    <x v="335"/>
    <x v="112"/>
    <x v="96"/>
    <x v="2"/>
    <x v="5"/>
    <n v="4"/>
    <n v="199"/>
    <n v="0.1"/>
    <x v="1"/>
    <s v="Net Banking"/>
    <x v="0"/>
    <n v="79.600000000000023"/>
    <n v="796"/>
    <n v="716.4"/>
    <n v="716.4"/>
  </r>
  <r>
    <x v="336"/>
    <x v="113"/>
    <x v="17"/>
    <x v="3"/>
    <x v="6"/>
    <n v="1"/>
    <n v="899"/>
    <n v="0.2"/>
    <x v="2"/>
    <s v="Credit Card"/>
    <x v="1"/>
    <n v="179.79999999999995"/>
    <n v="899"/>
    <n v="719.2"/>
    <n v="0"/>
  </r>
  <r>
    <x v="337"/>
    <x v="113"/>
    <x v="7"/>
    <x v="1"/>
    <x v="12"/>
    <n v="4"/>
    <n v="2299"/>
    <n v="0.15"/>
    <x v="3"/>
    <s v="Debit Card"/>
    <x v="2"/>
    <n v="1379.4000000000005"/>
    <n v="9196"/>
    <n v="7816.5999999999995"/>
    <n v="0"/>
  </r>
  <r>
    <x v="338"/>
    <x v="113"/>
    <x v="46"/>
    <x v="2"/>
    <x v="13"/>
    <n v="1"/>
    <n v="299"/>
    <n v="0"/>
    <x v="2"/>
    <s v="Cash on Delivery"/>
    <x v="0"/>
    <n v="0"/>
    <n v="299"/>
    <n v="299"/>
    <n v="299"/>
  </r>
  <r>
    <x v="339"/>
    <x v="113"/>
    <x v="53"/>
    <x v="3"/>
    <x v="3"/>
    <n v="3"/>
    <n v="6499"/>
    <n v="0.1"/>
    <x v="1"/>
    <s v="Debit Card"/>
    <x v="2"/>
    <n v="1949.7000000000007"/>
    <n v="19497"/>
    <n v="17547.3"/>
    <n v="0"/>
  </r>
  <r>
    <x v="340"/>
    <x v="113"/>
    <x v="81"/>
    <x v="1"/>
    <x v="10"/>
    <n v="1"/>
    <n v="1799"/>
    <n v="0"/>
    <x v="0"/>
    <s v="UPI"/>
    <x v="0"/>
    <n v="0"/>
    <n v="1799"/>
    <n v="1799"/>
    <n v="1799"/>
  </r>
  <r>
    <x v="341"/>
    <x v="113"/>
    <x v="84"/>
    <x v="2"/>
    <x v="13"/>
    <n v="1"/>
    <n v="299"/>
    <n v="0.1"/>
    <x v="1"/>
    <s v="Debit Card"/>
    <x v="0"/>
    <n v="29.899999999999977"/>
    <n v="299"/>
    <n v="269.10000000000002"/>
    <n v="269.10000000000002"/>
  </r>
  <r>
    <x v="342"/>
    <x v="114"/>
    <x v="28"/>
    <x v="0"/>
    <x v="18"/>
    <n v="2"/>
    <n v="1199"/>
    <n v="0.2"/>
    <x v="2"/>
    <s v="Credit Card"/>
    <x v="2"/>
    <n v="479.59999999999991"/>
    <n v="2398"/>
    <n v="1918.4"/>
    <n v="0"/>
  </r>
  <r>
    <x v="343"/>
    <x v="114"/>
    <x v="47"/>
    <x v="3"/>
    <x v="7"/>
    <n v="1"/>
    <n v="599"/>
    <n v="0.15"/>
    <x v="0"/>
    <s v="Net Banking"/>
    <x v="0"/>
    <n v="89.850000000000023"/>
    <n v="599"/>
    <n v="509.15"/>
    <n v="509.15"/>
  </r>
  <r>
    <x v="344"/>
    <x v="115"/>
    <x v="1"/>
    <x v="2"/>
    <x v="13"/>
    <n v="1"/>
    <n v="299"/>
    <n v="0.05"/>
    <x v="2"/>
    <s v="Cash on Delivery"/>
    <x v="1"/>
    <n v="14.949999999999989"/>
    <n v="299"/>
    <n v="284.05"/>
    <n v="0"/>
  </r>
  <r>
    <x v="345"/>
    <x v="115"/>
    <x v="50"/>
    <x v="1"/>
    <x v="8"/>
    <n v="1"/>
    <n v="799"/>
    <n v="0.05"/>
    <x v="2"/>
    <s v="Credit Card"/>
    <x v="0"/>
    <n v="39.950000000000045"/>
    <n v="799"/>
    <n v="759.05"/>
    <n v="759.05"/>
  </r>
  <r>
    <x v="346"/>
    <x v="116"/>
    <x v="53"/>
    <x v="3"/>
    <x v="3"/>
    <n v="3"/>
    <n v="6499"/>
    <n v="0"/>
    <x v="0"/>
    <s v="Net Banking"/>
    <x v="0"/>
    <n v="0"/>
    <n v="19497"/>
    <n v="19497"/>
    <n v="19497"/>
  </r>
  <r>
    <x v="347"/>
    <x v="116"/>
    <x v="56"/>
    <x v="3"/>
    <x v="3"/>
    <n v="3"/>
    <n v="6499"/>
    <n v="0.2"/>
    <x v="2"/>
    <s v="Net Banking"/>
    <x v="2"/>
    <n v="3899.3999999999996"/>
    <n v="19497"/>
    <n v="15597.6"/>
    <n v="0"/>
  </r>
  <r>
    <x v="348"/>
    <x v="117"/>
    <x v="46"/>
    <x v="1"/>
    <x v="15"/>
    <n v="4"/>
    <n v="999"/>
    <n v="0.1"/>
    <x v="0"/>
    <s v="UPI"/>
    <x v="0"/>
    <n v="399.59999999999991"/>
    <n v="3996"/>
    <n v="3596.4"/>
    <n v="3596.4"/>
  </r>
  <r>
    <x v="349"/>
    <x v="117"/>
    <x v="89"/>
    <x v="2"/>
    <x v="17"/>
    <n v="2"/>
    <n v="249"/>
    <n v="0"/>
    <x v="3"/>
    <s v="Credit Card"/>
    <x v="0"/>
    <n v="0"/>
    <n v="498"/>
    <n v="498"/>
    <n v="498"/>
  </r>
  <r>
    <x v="350"/>
    <x v="117"/>
    <x v="63"/>
    <x v="2"/>
    <x v="17"/>
    <n v="1"/>
    <n v="249"/>
    <n v="0.15"/>
    <x v="1"/>
    <s v="Debit Card"/>
    <x v="0"/>
    <n v="37.349999999999994"/>
    <n v="249"/>
    <n v="211.65"/>
    <n v="211.65"/>
  </r>
  <r>
    <x v="351"/>
    <x v="118"/>
    <x v="17"/>
    <x v="0"/>
    <x v="18"/>
    <n v="1"/>
    <n v="1199"/>
    <n v="0"/>
    <x v="1"/>
    <s v="Cash on Delivery"/>
    <x v="0"/>
    <n v="0"/>
    <n v="1199"/>
    <n v="1199"/>
    <n v="1199"/>
  </r>
  <r>
    <x v="352"/>
    <x v="118"/>
    <x v="92"/>
    <x v="3"/>
    <x v="16"/>
    <n v="1"/>
    <n v="1599"/>
    <n v="0"/>
    <x v="3"/>
    <s v="UPI"/>
    <x v="0"/>
    <n v="0"/>
    <n v="1599"/>
    <n v="1599"/>
    <n v="1599"/>
  </r>
  <r>
    <x v="353"/>
    <x v="119"/>
    <x v="57"/>
    <x v="2"/>
    <x v="2"/>
    <n v="1"/>
    <n v="349"/>
    <n v="0.15"/>
    <x v="0"/>
    <s v="Cash on Delivery"/>
    <x v="1"/>
    <n v="52.350000000000023"/>
    <n v="349"/>
    <n v="296.64999999999998"/>
    <n v="0"/>
  </r>
  <r>
    <x v="354"/>
    <x v="119"/>
    <x v="63"/>
    <x v="0"/>
    <x v="0"/>
    <n v="1"/>
    <n v="499"/>
    <n v="0.2"/>
    <x v="0"/>
    <s v="Credit Card"/>
    <x v="0"/>
    <n v="99.799999999999955"/>
    <n v="499"/>
    <n v="399.20000000000005"/>
    <n v="399.20000000000005"/>
  </r>
  <r>
    <x v="355"/>
    <x v="119"/>
    <x v="35"/>
    <x v="0"/>
    <x v="14"/>
    <n v="1"/>
    <n v="1499"/>
    <n v="0.15"/>
    <x v="2"/>
    <s v="Credit Card"/>
    <x v="0"/>
    <n v="224.85000000000014"/>
    <n v="1499"/>
    <n v="1274.1499999999999"/>
    <n v="1274.1499999999999"/>
  </r>
  <r>
    <x v="356"/>
    <x v="119"/>
    <x v="56"/>
    <x v="3"/>
    <x v="16"/>
    <n v="1"/>
    <n v="1599"/>
    <n v="0.05"/>
    <x v="2"/>
    <s v="Net Banking"/>
    <x v="0"/>
    <n v="79.950000000000045"/>
    <n v="1599"/>
    <n v="1519.05"/>
    <n v="1519.05"/>
  </r>
  <r>
    <x v="357"/>
    <x v="119"/>
    <x v="32"/>
    <x v="2"/>
    <x v="5"/>
    <n v="2"/>
    <n v="199"/>
    <n v="0.05"/>
    <x v="1"/>
    <s v="Debit Card"/>
    <x v="0"/>
    <n v="19.900000000000034"/>
    <n v="398"/>
    <n v="378.09999999999997"/>
    <n v="378.09999999999997"/>
  </r>
  <r>
    <x v="358"/>
    <x v="120"/>
    <x v="73"/>
    <x v="1"/>
    <x v="15"/>
    <n v="2"/>
    <n v="999"/>
    <n v="0.1"/>
    <x v="0"/>
    <s v="Credit Card"/>
    <x v="0"/>
    <n v="199.79999999999995"/>
    <n v="1998"/>
    <n v="1798.2"/>
    <n v="1798.2"/>
  </r>
  <r>
    <x v="359"/>
    <x v="121"/>
    <x v="21"/>
    <x v="0"/>
    <x v="0"/>
    <n v="1"/>
    <n v="499"/>
    <n v="0.05"/>
    <x v="2"/>
    <s v="Net Banking"/>
    <x v="0"/>
    <n v="24.950000000000045"/>
    <n v="499"/>
    <n v="474.04999999999995"/>
    <n v="474.04999999999995"/>
  </r>
  <r>
    <x v="360"/>
    <x v="121"/>
    <x v="72"/>
    <x v="2"/>
    <x v="5"/>
    <n v="1"/>
    <n v="199"/>
    <n v="0.15"/>
    <x v="2"/>
    <s v="UPI"/>
    <x v="0"/>
    <n v="29.849999999999994"/>
    <n v="199"/>
    <n v="169.15"/>
    <n v="169.15"/>
  </r>
  <r>
    <x v="361"/>
    <x v="121"/>
    <x v="85"/>
    <x v="0"/>
    <x v="9"/>
    <n v="2"/>
    <n v="299"/>
    <n v="0.05"/>
    <x v="1"/>
    <s v="Cash on Delivery"/>
    <x v="0"/>
    <n v="29.899999999999977"/>
    <n v="598"/>
    <n v="568.1"/>
    <n v="568.1"/>
  </r>
  <r>
    <x v="362"/>
    <x v="122"/>
    <x v="80"/>
    <x v="1"/>
    <x v="1"/>
    <n v="2"/>
    <n v="1299"/>
    <n v="0.2"/>
    <x v="0"/>
    <s v="Debit Card"/>
    <x v="0"/>
    <n v="519.59999999999991"/>
    <n v="2598"/>
    <n v="2078.4"/>
    <n v="2078.4"/>
  </r>
  <r>
    <x v="363"/>
    <x v="123"/>
    <x v="10"/>
    <x v="2"/>
    <x v="13"/>
    <n v="1"/>
    <n v="299"/>
    <n v="0.1"/>
    <x v="2"/>
    <s v="Cash on Delivery"/>
    <x v="2"/>
    <n v="29.899999999999977"/>
    <n v="299"/>
    <n v="269.10000000000002"/>
    <n v="0"/>
  </r>
  <r>
    <x v="364"/>
    <x v="123"/>
    <x v="56"/>
    <x v="2"/>
    <x v="5"/>
    <n v="4"/>
    <n v="199"/>
    <n v="0.1"/>
    <x v="0"/>
    <s v="Net Banking"/>
    <x v="1"/>
    <n v="79.600000000000023"/>
    <n v="796"/>
    <n v="716.4"/>
    <n v="0"/>
  </r>
  <r>
    <x v="365"/>
    <x v="123"/>
    <x v="68"/>
    <x v="1"/>
    <x v="15"/>
    <n v="1"/>
    <n v="999"/>
    <n v="0.1"/>
    <x v="3"/>
    <s v="Cash on Delivery"/>
    <x v="1"/>
    <n v="99.899999999999977"/>
    <n v="999"/>
    <n v="899.1"/>
    <n v="0"/>
  </r>
  <r>
    <x v="366"/>
    <x v="124"/>
    <x v="75"/>
    <x v="1"/>
    <x v="10"/>
    <n v="1"/>
    <n v="1799"/>
    <n v="0.15"/>
    <x v="2"/>
    <s v="Cash on Delivery"/>
    <x v="0"/>
    <n v="269.85000000000014"/>
    <n v="1799"/>
    <n v="1529.1499999999999"/>
    <n v="1529.1499999999999"/>
  </r>
  <r>
    <x v="367"/>
    <x v="124"/>
    <x v="97"/>
    <x v="3"/>
    <x v="16"/>
    <n v="1"/>
    <n v="1599"/>
    <n v="0.05"/>
    <x v="1"/>
    <s v="Net Banking"/>
    <x v="1"/>
    <n v="79.950000000000045"/>
    <n v="1599"/>
    <n v="1519.05"/>
    <n v="0"/>
  </r>
  <r>
    <x v="368"/>
    <x v="125"/>
    <x v="41"/>
    <x v="3"/>
    <x v="4"/>
    <n v="1"/>
    <n v="499"/>
    <n v="0.1"/>
    <x v="0"/>
    <s v="Debit Card"/>
    <x v="0"/>
    <n v="49.899999999999977"/>
    <n v="499"/>
    <n v="449.1"/>
    <n v="449.1"/>
  </r>
  <r>
    <x v="369"/>
    <x v="126"/>
    <x v="78"/>
    <x v="0"/>
    <x v="18"/>
    <n v="2"/>
    <n v="1199"/>
    <n v="0"/>
    <x v="3"/>
    <s v="UPI"/>
    <x v="1"/>
    <n v="0"/>
    <n v="2398"/>
    <n v="2398"/>
    <n v="0"/>
  </r>
  <r>
    <x v="370"/>
    <x v="127"/>
    <x v="71"/>
    <x v="0"/>
    <x v="0"/>
    <n v="3"/>
    <n v="499"/>
    <n v="0"/>
    <x v="3"/>
    <s v="Cash on Delivery"/>
    <x v="0"/>
    <n v="0"/>
    <n v="1497"/>
    <n v="1497"/>
    <n v="1497"/>
  </r>
  <r>
    <x v="371"/>
    <x v="127"/>
    <x v="22"/>
    <x v="0"/>
    <x v="0"/>
    <n v="1"/>
    <n v="499"/>
    <n v="0"/>
    <x v="0"/>
    <s v="Debit Card"/>
    <x v="0"/>
    <n v="0"/>
    <n v="499"/>
    <n v="499"/>
    <n v="499"/>
  </r>
  <r>
    <x v="372"/>
    <x v="127"/>
    <x v="25"/>
    <x v="2"/>
    <x v="2"/>
    <n v="5"/>
    <n v="349"/>
    <n v="0.2"/>
    <x v="1"/>
    <s v="Debit Card"/>
    <x v="2"/>
    <n v="349"/>
    <n v="1745"/>
    <n v="1396"/>
    <n v="0"/>
  </r>
  <r>
    <x v="373"/>
    <x v="127"/>
    <x v="14"/>
    <x v="2"/>
    <x v="17"/>
    <n v="2"/>
    <n v="249"/>
    <n v="0.15"/>
    <x v="3"/>
    <s v="UPI"/>
    <x v="2"/>
    <n v="74.699999999999989"/>
    <n v="498"/>
    <n v="423.3"/>
    <n v="0"/>
  </r>
  <r>
    <x v="374"/>
    <x v="127"/>
    <x v="22"/>
    <x v="2"/>
    <x v="13"/>
    <n v="4"/>
    <n v="299"/>
    <n v="0.05"/>
    <x v="2"/>
    <s v="Cash on Delivery"/>
    <x v="0"/>
    <n v="59.799999999999955"/>
    <n v="1196"/>
    <n v="1136.2"/>
    <n v="1136.2"/>
  </r>
  <r>
    <x v="375"/>
    <x v="127"/>
    <x v="51"/>
    <x v="0"/>
    <x v="9"/>
    <n v="5"/>
    <n v="299"/>
    <n v="0.05"/>
    <x v="3"/>
    <s v="Credit Card"/>
    <x v="2"/>
    <n v="74.75"/>
    <n v="1495"/>
    <n v="1420.25"/>
    <n v="0"/>
  </r>
  <r>
    <x v="376"/>
    <x v="128"/>
    <x v="87"/>
    <x v="2"/>
    <x v="5"/>
    <n v="2"/>
    <n v="199"/>
    <n v="0.15"/>
    <x v="3"/>
    <s v="Cash on Delivery"/>
    <x v="0"/>
    <n v="59.699999999999989"/>
    <n v="398"/>
    <n v="338.3"/>
    <n v="338.3"/>
  </r>
  <r>
    <x v="377"/>
    <x v="128"/>
    <x v="6"/>
    <x v="3"/>
    <x v="16"/>
    <n v="4"/>
    <n v="1599"/>
    <n v="0.15"/>
    <x v="0"/>
    <s v="Debit Card"/>
    <x v="2"/>
    <n v="959.40000000000055"/>
    <n v="6396"/>
    <n v="5436.5999999999995"/>
    <n v="0"/>
  </r>
  <r>
    <x v="378"/>
    <x v="128"/>
    <x v="49"/>
    <x v="3"/>
    <x v="3"/>
    <n v="4"/>
    <n v="6499"/>
    <n v="0.05"/>
    <x v="2"/>
    <s v="Debit Card"/>
    <x v="0"/>
    <n v="1299.8000000000029"/>
    <n v="25996"/>
    <n v="24696.199999999997"/>
    <n v="24696.199999999997"/>
  </r>
  <r>
    <x v="379"/>
    <x v="129"/>
    <x v="96"/>
    <x v="3"/>
    <x v="6"/>
    <n v="1"/>
    <n v="899"/>
    <n v="0.15"/>
    <x v="1"/>
    <s v="Cash on Delivery"/>
    <x v="1"/>
    <n v="134.85000000000002"/>
    <n v="899"/>
    <n v="764.15"/>
    <n v="0"/>
  </r>
  <r>
    <x v="380"/>
    <x v="129"/>
    <x v="2"/>
    <x v="0"/>
    <x v="19"/>
    <n v="1"/>
    <n v="699"/>
    <n v="0"/>
    <x v="1"/>
    <s v="UPI"/>
    <x v="1"/>
    <n v="0"/>
    <n v="699"/>
    <n v="699"/>
    <n v="0"/>
  </r>
  <r>
    <x v="381"/>
    <x v="129"/>
    <x v="51"/>
    <x v="3"/>
    <x v="3"/>
    <n v="2"/>
    <n v="6499"/>
    <n v="0.15"/>
    <x v="1"/>
    <s v="UPI"/>
    <x v="0"/>
    <n v="1949.7000000000007"/>
    <n v="12998"/>
    <n v="11048.3"/>
    <n v="11048.3"/>
  </r>
  <r>
    <x v="382"/>
    <x v="130"/>
    <x v="86"/>
    <x v="1"/>
    <x v="1"/>
    <n v="1"/>
    <n v="1299"/>
    <n v="0.1"/>
    <x v="0"/>
    <s v="Cash on Delivery"/>
    <x v="0"/>
    <n v="129.89999999999986"/>
    <n v="1299"/>
    <n v="1169.1000000000001"/>
    <n v="1169.1000000000001"/>
  </r>
  <r>
    <x v="383"/>
    <x v="130"/>
    <x v="67"/>
    <x v="1"/>
    <x v="1"/>
    <n v="3"/>
    <n v="1299"/>
    <n v="0.15"/>
    <x v="0"/>
    <s v="Net Banking"/>
    <x v="0"/>
    <n v="584.55000000000018"/>
    <n v="3897"/>
    <n v="3312.45"/>
    <n v="3312.45"/>
  </r>
  <r>
    <x v="384"/>
    <x v="131"/>
    <x v="64"/>
    <x v="3"/>
    <x v="6"/>
    <n v="3"/>
    <n v="899"/>
    <n v="0.15"/>
    <x v="2"/>
    <s v="Credit Card"/>
    <x v="0"/>
    <n v="404.55000000000018"/>
    <n v="2697"/>
    <n v="2292.4499999999998"/>
    <n v="2292.4499999999998"/>
  </r>
  <r>
    <x v="385"/>
    <x v="131"/>
    <x v="51"/>
    <x v="3"/>
    <x v="4"/>
    <n v="2"/>
    <n v="499"/>
    <n v="0.05"/>
    <x v="0"/>
    <s v="Debit Card"/>
    <x v="1"/>
    <n v="49.900000000000091"/>
    <n v="998"/>
    <n v="948.09999999999991"/>
    <n v="0"/>
  </r>
  <r>
    <x v="386"/>
    <x v="131"/>
    <x v="30"/>
    <x v="0"/>
    <x v="14"/>
    <n v="3"/>
    <n v="1499"/>
    <n v="0.05"/>
    <x v="2"/>
    <s v="Debit Card"/>
    <x v="0"/>
    <n v="224.85000000000036"/>
    <n v="4497"/>
    <n v="4272.1499999999996"/>
    <n v="4272.1499999999996"/>
  </r>
  <r>
    <x v="387"/>
    <x v="132"/>
    <x v="44"/>
    <x v="0"/>
    <x v="0"/>
    <n v="3"/>
    <n v="499"/>
    <n v="0.05"/>
    <x v="0"/>
    <s v="Cash on Delivery"/>
    <x v="0"/>
    <n v="74.850000000000136"/>
    <n v="1497"/>
    <n v="1422.1499999999999"/>
    <n v="1422.1499999999999"/>
  </r>
  <r>
    <x v="388"/>
    <x v="133"/>
    <x v="96"/>
    <x v="0"/>
    <x v="0"/>
    <n v="1"/>
    <n v="499"/>
    <n v="0.1"/>
    <x v="0"/>
    <s v="Credit Card"/>
    <x v="1"/>
    <n v="49.899999999999977"/>
    <n v="499"/>
    <n v="449.1"/>
    <n v="0"/>
  </r>
  <r>
    <x v="389"/>
    <x v="133"/>
    <x v="93"/>
    <x v="1"/>
    <x v="1"/>
    <n v="1"/>
    <n v="1299"/>
    <n v="0.2"/>
    <x v="0"/>
    <s v="Debit Card"/>
    <x v="1"/>
    <n v="259.79999999999995"/>
    <n v="1299"/>
    <n v="1039.2"/>
    <n v="0"/>
  </r>
  <r>
    <x v="390"/>
    <x v="133"/>
    <x v="13"/>
    <x v="1"/>
    <x v="12"/>
    <n v="2"/>
    <n v="2299"/>
    <n v="0.2"/>
    <x v="3"/>
    <s v="Cash on Delivery"/>
    <x v="2"/>
    <n v="919.59999999999991"/>
    <n v="4598"/>
    <n v="3678.4"/>
    <n v="0"/>
  </r>
  <r>
    <x v="391"/>
    <x v="133"/>
    <x v="45"/>
    <x v="2"/>
    <x v="5"/>
    <n v="2"/>
    <n v="199"/>
    <n v="0.15"/>
    <x v="0"/>
    <s v="Net Banking"/>
    <x v="2"/>
    <n v="59.699999999999989"/>
    <n v="398"/>
    <n v="338.3"/>
    <n v="0"/>
  </r>
  <r>
    <x v="392"/>
    <x v="133"/>
    <x v="16"/>
    <x v="1"/>
    <x v="8"/>
    <n v="1"/>
    <n v="799"/>
    <n v="0.1"/>
    <x v="1"/>
    <s v="Cash on Delivery"/>
    <x v="0"/>
    <n v="79.899999999999977"/>
    <n v="799"/>
    <n v="719.1"/>
    <n v="719.1"/>
  </r>
  <r>
    <x v="393"/>
    <x v="133"/>
    <x v="73"/>
    <x v="2"/>
    <x v="11"/>
    <n v="3"/>
    <n v="399"/>
    <n v="0.15"/>
    <x v="2"/>
    <s v="Cash on Delivery"/>
    <x v="0"/>
    <n v="179.55000000000007"/>
    <n v="1197"/>
    <n v="1017.4499999999999"/>
    <n v="1017.4499999999999"/>
  </r>
  <r>
    <x v="394"/>
    <x v="134"/>
    <x v="15"/>
    <x v="1"/>
    <x v="15"/>
    <n v="3"/>
    <n v="999"/>
    <n v="0.2"/>
    <x v="0"/>
    <s v="Net Banking"/>
    <x v="1"/>
    <n v="599.40000000000009"/>
    <n v="2997"/>
    <n v="2397.6"/>
    <n v="0"/>
  </r>
  <r>
    <x v="395"/>
    <x v="134"/>
    <x v="55"/>
    <x v="2"/>
    <x v="11"/>
    <n v="1"/>
    <n v="399"/>
    <n v="0.2"/>
    <x v="0"/>
    <s v="Debit Card"/>
    <x v="0"/>
    <n v="79.799999999999955"/>
    <n v="399"/>
    <n v="319.20000000000005"/>
    <n v="319.20000000000005"/>
  </r>
  <r>
    <x v="396"/>
    <x v="135"/>
    <x v="88"/>
    <x v="0"/>
    <x v="19"/>
    <n v="3"/>
    <n v="699"/>
    <n v="0.05"/>
    <x v="0"/>
    <s v="Net Banking"/>
    <x v="0"/>
    <n v="104.85000000000014"/>
    <n v="2097"/>
    <n v="1992.1499999999999"/>
    <n v="1992.1499999999999"/>
  </r>
  <r>
    <x v="397"/>
    <x v="136"/>
    <x v="82"/>
    <x v="1"/>
    <x v="10"/>
    <n v="2"/>
    <n v="1799"/>
    <n v="0.2"/>
    <x v="1"/>
    <s v="Credit Card"/>
    <x v="0"/>
    <n v="719.59999999999991"/>
    <n v="3598"/>
    <n v="2878.4"/>
    <n v="2878.4"/>
  </r>
  <r>
    <x v="398"/>
    <x v="136"/>
    <x v="61"/>
    <x v="3"/>
    <x v="6"/>
    <n v="1"/>
    <n v="899"/>
    <n v="0"/>
    <x v="2"/>
    <s v="Cash on Delivery"/>
    <x v="2"/>
    <n v="0"/>
    <n v="899"/>
    <n v="899"/>
    <n v="0"/>
  </r>
  <r>
    <x v="399"/>
    <x v="136"/>
    <x v="0"/>
    <x v="2"/>
    <x v="11"/>
    <n v="1"/>
    <n v="399"/>
    <n v="0"/>
    <x v="3"/>
    <s v="Cash on Delivery"/>
    <x v="0"/>
    <n v="0"/>
    <n v="399"/>
    <n v="399"/>
    <n v="399"/>
  </r>
  <r>
    <x v="400"/>
    <x v="136"/>
    <x v="96"/>
    <x v="0"/>
    <x v="9"/>
    <n v="1"/>
    <n v="299"/>
    <n v="0.2"/>
    <x v="1"/>
    <s v="Debit Card"/>
    <x v="0"/>
    <n v="59.799999999999983"/>
    <n v="299"/>
    <n v="239.20000000000002"/>
    <n v="239.20000000000002"/>
  </r>
  <r>
    <x v="401"/>
    <x v="136"/>
    <x v="76"/>
    <x v="1"/>
    <x v="12"/>
    <n v="1"/>
    <n v="2299"/>
    <n v="0.2"/>
    <x v="2"/>
    <s v="Debit Card"/>
    <x v="0"/>
    <n v="459.79999999999995"/>
    <n v="2299"/>
    <n v="1839.2"/>
    <n v="1839.2"/>
  </r>
  <r>
    <x v="402"/>
    <x v="136"/>
    <x v="22"/>
    <x v="0"/>
    <x v="19"/>
    <n v="2"/>
    <n v="699"/>
    <n v="0.15"/>
    <x v="1"/>
    <s v="Credit Card"/>
    <x v="2"/>
    <n v="209.70000000000005"/>
    <n v="1398"/>
    <n v="1188.3"/>
    <n v="0"/>
  </r>
  <r>
    <x v="403"/>
    <x v="137"/>
    <x v="11"/>
    <x v="1"/>
    <x v="10"/>
    <n v="2"/>
    <n v="1799"/>
    <n v="0"/>
    <x v="0"/>
    <s v="Credit Card"/>
    <x v="2"/>
    <n v="0"/>
    <n v="3598"/>
    <n v="3598"/>
    <n v="0"/>
  </r>
  <r>
    <x v="404"/>
    <x v="137"/>
    <x v="20"/>
    <x v="0"/>
    <x v="19"/>
    <n v="1"/>
    <n v="699"/>
    <n v="0.15"/>
    <x v="1"/>
    <s v="Debit Card"/>
    <x v="0"/>
    <n v="104.85000000000002"/>
    <n v="699"/>
    <n v="594.15"/>
    <n v="594.15"/>
  </r>
  <r>
    <x v="405"/>
    <x v="137"/>
    <x v="44"/>
    <x v="3"/>
    <x v="4"/>
    <n v="1"/>
    <n v="499"/>
    <n v="0"/>
    <x v="1"/>
    <s v="Cash on Delivery"/>
    <x v="1"/>
    <n v="0"/>
    <n v="499"/>
    <n v="499"/>
    <n v="0"/>
  </r>
  <r>
    <x v="406"/>
    <x v="137"/>
    <x v="40"/>
    <x v="0"/>
    <x v="0"/>
    <n v="1"/>
    <n v="499"/>
    <n v="0.05"/>
    <x v="3"/>
    <s v="Cash on Delivery"/>
    <x v="2"/>
    <n v="24.950000000000045"/>
    <n v="499"/>
    <n v="474.04999999999995"/>
    <n v="0"/>
  </r>
  <r>
    <x v="407"/>
    <x v="138"/>
    <x v="48"/>
    <x v="2"/>
    <x v="17"/>
    <n v="3"/>
    <n v="249"/>
    <n v="0.15"/>
    <x v="2"/>
    <s v="Credit Card"/>
    <x v="0"/>
    <n v="112.05000000000007"/>
    <n v="747"/>
    <n v="634.94999999999993"/>
    <n v="634.94999999999993"/>
  </r>
  <r>
    <x v="408"/>
    <x v="138"/>
    <x v="79"/>
    <x v="3"/>
    <x v="6"/>
    <n v="2"/>
    <n v="899"/>
    <n v="0.05"/>
    <x v="0"/>
    <s v="Debit Card"/>
    <x v="0"/>
    <n v="89.900000000000091"/>
    <n v="1798"/>
    <n v="1708.1"/>
    <n v="1708.1"/>
  </r>
  <r>
    <x v="409"/>
    <x v="139"/>
    <x v="7"/>
    <x v="3"/>
    <x v="3"/>
    <n v="1"/>
    <n v="6499"/>
    <n v="0.15"/>
    <x v="0"/>
    <s v="UPI"/>
    <x v="0"/>
    <n v="974.85000000000036"/>
    <n v="6499"/>
    <n v="5524.15"/>
    <n v="5524.15"/>
  </r>
  <r>
    <x v="410"/>
    <x v="139"/>
    <x v="63"/>
    <x v="2"/>
    <x v="5"/>
    <n v="1"/>
    <n v="199"/>
    <n v="0.05"/>
    <x v="0"/>
    <s v="Net Banking"/>
    <x v="0"/>
    <n v="9.9500000000000171"/>
    <n v="199"/>
    <n v="189.04999999999998"/>
    <n v="189.04999999999998"/>
  </r>
  <r>
    <x v="411"/>
    <x v="140"/>
    <x v="0"/>
    <x v="0"/>
    <x v="14"/>
    <n v="3"/>
    <n v="1499"/>
    <n v="0.15"/>
    <x v="2"/>
    <s v="Debit Card"/>
    <x v="0"/>
    <n v="674.55000000000018"/>
    <n v="4497"/>
    <n v="3822.45"/>
    <n v="3822.45"/>
  </r>
  <r>
    <x v="412"/>
    <x v="141"/>
    <x v="66"/>
    <x v="1"/>
    <x v="8"/>
    <n v="3"/>
    <n v="799"/>
    <n v="0.2"/>
    <x v="2"/>
    <s v="Net Banking"/>
    <x v="0"/>
    <n v="479.39999999999986"/>
    <n v="2397"/>
    <n v="1917.6000000000001"/>
    <n v="1917.6000000000001"/>
  </r>
  <r>
    <x v="413"/>
    <x v="141"/>
    <x v="0"/>
    <x v="1"/>
    <x v="12"/>
    <n v="4"/>
    <n v="2299"/>
    <n v="0.1"/>
    <x v="2"/>
    <s v="Credit Card"/>
    <x v="1"/>
    <n v="919.60000000000036"/>
    <n v="9196"/>
    <n v="8276.4"/>
    <n v="0"/>
  </r>
  <r>
    <x v="414"/>
    <x v="141"/>
    <x v="51"/>
    <x v="1"/>
    <x v="1"/>
    <n v="1"/>
    <n v="1299"/>
    <n v="0.15"/>
    <x v="2"/>
    <s v="Debit Card"/>
    <x v="1"/>
    <n v="194.85000000000014"/>
    <n v="1299"/>
    <n v="1104.1499999999999"/>
    <n v="0"/>
  </r>
  <r>
    <x v="415"/>
    <x v="142"/>
    <x v="90"/>
    <x v="0"/>
    <x v="0"/>
    <n v="1"/>
    <n v="499"/>
    <n v="0"/>
    <x v="2"/>
    <s v="Debit Card"/>
    <x v="2"/>
    <n v="0"/>
    <n v="499"/>
    <n v="499"/>
    <n v="0"/>
  </r>
  <r>
    <x v="416"/>
    <x v="142"/>
    <x v="95"/>
    <x v="0"/>
    <x v="0"/>
    <n v="1"/>
    <n v="499"/>
    <n v="0.05"/>
    <x v="1"/>
    <s v="Debit Card"/>
    <x v="0"/>
    <n v="24.950000000000045"/>
    <n v="499"/>
    <n v="474.04999999999995"/>
    <n v="474.04999999999995"/>
  </r>
  <r>
    <x v="417"/>
    <x v="142"/>
    <x v="10"/>
    <x v="2"/>
    <x v="13"/>
    <n v="1"/>
    <n v="299"/>
    <n v="0.15"/>
    <x v="0"/>
    <s v="Debit Card"/>
    <x v="1"/>
    <n v="44.849999999999994"/>
    <n v="299"/>
    <n v="254.15"/>
    <n v="0"/>
  </r>
  <r>
    <x v="418"/>
    <x v="142"/>
    <x v="50"/>
    <x v="1"/>
    <x v="12"/>
    <n v="3"/>
    <n v="2299"/>
    <n v="0.2"/>
    <x v="1"/>
    <s v="UPI"/>
    <x v="0"/>
    <n v="1379.3999999999996"/>
    <n v="6897"/>
    <n v="5517.6"/>
    <n v="5517.6"/>
  </r>
  <r>
    <x v="419"/>
    <x v="143"/>
    <x v="11"/>
    <x v="1"/>
    <x v="12"/>
    <n v="1"/>
    <n v="2299"/>
    <n v="0.05"/>
    <x v="1"/>
    <s v="UPI"/>
    <x v="0"/>
    <n v="114.95000000000027"/>
    <n v="2299"/>
    <n v="2184.0499999999997"/>
    <n v="2184.0499999999997"/>
  </r>
  <r>
    <x v="420"/>
    <x v="144"/>
    <x v="12"/>
    <x v="1"/>
    <x v="15"/>
    <n v="3"/>
    <n v="999"/>
    <n v="0.1"/>
    <x v="0"/>
    <s v="Debit Card"/>
    <x v="0"/>
    <n v="299.69999999999982"/>
    <n v="2997"/>
    <n v="2697.3"/>
    <n v="2697.3"/>
  </r>
  <r>
    <x v="421"/>
    <x v="144"/>
    <x v="91"/>
    <x v="3"/>
    <x v="4"/>
    <n v="3"/>
    <n v="499"/>
    <n v="0.05"/>
    <x v="0"/>
    <s v="Cash on Delivery"/>
    <x v="0"/>
    <n v="74.850000000000136"/>
    <n v="1497"/>
    <n v="1422.1499999999999"/>
    <n v="1422.1499999999999"/>
  </r>
  <r>
    <x v="422"/>
    <x v="144"/>
    <x v="11"/>
    <x v="1"/>
    <x v="1"/>
    <n v="1"/>
    <n v="1299"/>
    <n v="0.2"/>
    <x v="3"/>
    <s v="UPI"/>
    <x v="0"/>
    <n v="259.79999999999995"/>
    <n v="1299"/>
    <n v="1039.2"/>
    <n v="1039.2"/>
  </r>
  <r>
    <x v="423"/>
    <x v="144"/>
    <x v="49"/>
    <x v="2"/>
    <x v="5"/>
    <n v="1"/>
    <n v="199"/>
    <n v="0.1"/>
    <x v="2"/>
    <s v="Net Banking"/>
    <x v="0"/>
    <n v="19.900000000000006"/>
    <n v="199"/>
    <n v="179.1"/>
    <n v="179.1"/>
  </r>
  <r>
    <x v="424"/>
    <x v="145"/>
    <x v="97"/>
    <x v="0"/>
    <x v="9"/>
    <n v="3"/>
    <n v="299"/>
    <n v="0.1"/>
    <x v="2"/>
    <s v="Debit Card"/>
    <x v="0"/>
    <n v="89.699999999999932"/>
    <n v="897"/>
    <n v="807.30000000000007"/>
    <n v="807.30000000000007"/>
  </r>
  <r>
    <x v="425"/>
    <x v="145"/>
    <x v="26"/>
    <x v="2"/>
    <x v="2"/>
    <n v="2"/>
    <n v="349"/>
    <n v="0.2"/>
    <x v="1"/>
    <s v="UPI"/>
    <x v="0"/>
    <n v="139.60000000000002"/>
    <n v="698"/>
    <n v="558.4"/>
    <n v="558.4"/>
  </r>
  <r>
    <x v="426"/>
    <x v="146"/>
    <x v="56"/>
    <x v="3"/>
    <x v="4"/>
    <n v="1"/>
    <n v="499"/>
    <n v="0.15"/>
    <x v="1"/>
    <s v="Cash on Delivery"/>
    <x v="0"/>
    <n v="74.850000000000023"/>
    <n v="499"/>
    <n v="424.15"/>
    <n v="424.15"/>
  </r>
  <r>
    <x v="427"/>
    <x v="146"/>
    <x v="88"/>
    <x v="3"/>
    <x v="3"/>
    <n v="2"/>
    <n v="6499"/>
    <n v="0.05"/>
    <x v="2"/>
    <s v="Debit Card"/>
    <x v="0"/>
    <n v="649.90000000000146"/>
    <n v="12998"/>
    <n v="12348.099999999999"/>
    <n v="12348.099999999999"/>
  </r>
  <r>
    <x v="428"/>
    <x v="146"/>
    <x v="76"/>
    <x v="1"/>
    <x v="8"/>
    <n v="2"/>
    <n v="799"/>
    <n v="0"/>
    <x v="1"/>
    <s v="Cash on Delivery"/>
    <x v="0"/>
    <n v="0"/>
    <n v="1598"/>
    <n v="1598"/>
    <n v="1598"/>
  </r>
  <r>
    <x v="429"/>
    <x v="147"/>
    <x v="6"/>
    <x v="3"/>
    <x v="6"/>
    <n v="1"/>
    <n v="899"/>
    <n v="0"/>
    <x v="2"/>
    <s v="UPI"/>
    <x v="0"/>
    <n v="0"/>
    <n v="899"/>
    <n v="899"/>
    <n v="899"/>
  </r>
  <r>
    <x v="430"/>
    <x v="147"/>
    <x v="32"/>
    <x v="1"/>
    <x v="10"/>
    <n v="1"/>
    <n v="1799"/>
    <n v="0.2"/>
    <x v="1"/>
    <s v="Net Banking"/>
    <x v="1"/>
    <n v="359.79999999999995"/>
    <n v="1799"/>
    <n v="1439.2"/>
    <n v="0"/>
  </r>
  <r>
    <x v="431"/>
    <x v="147"/>
    <x v="44"/>
    <x v="1"/>
    <x v="1"/>
    <n v="1"/>
    <n v="1299"/>
    <n v="0.15"/>
    <x v="0"/>
    <s v="Cash on Delivery"/>
    <x v="1"/>
    <n v="194.85000000000014"/>
    <n v="1299"/>
    <n v="1104.1499999999999"/>
    <n v="0"/>
  </r>
  <r>
    <x v="432"/>
    <x v="147"/>
    <x v="35"/>
    <x v="3"/>
    <x v="4"/>
    <n v="1"/>
    <n v="499"/>
    <n v="0.15"/>
    <x v="1"/>
    <s v="Net Banking"/>
    <x v="0"/>
    <n v="74.850000000000023"/>
    <n v="499"/>
    <n v="424.15"/>
    <n v="424.15"/>
  </r>
  <r>
    <x v="433"/>
    <x v="148"/>
    <x v="37"/>
    <x v="2"/>
    <x v="11"/>
    <n v="1"/>
    <n v="399"/>
    <n v="0.15"/>
    <x v="1"/>
    <s v="Credit Card"/>
    <x v="0"/>
    <n v="59.850000000000023"/>
    <n v="399"/>
    <n v="339.15"/>
    <n v="339.15"/>
  </r>
  <r>
    <x v="434"/>
    <x v="148"/>
    <x v="45"/>
    <x v="2"/>
    <x v="13"/>
    <n v="1"/>
    <n v="299"/>
    <n v="0.1"/>
    <x v="2"/>
    <s v="Net Banking"/>
    <x v="0"/>
    <n v="29.899999999999977"/>
    <n v="299"/>
    <n v="269.10000000000002"/>
    <n v="269.10000000000002"/>
  </r>
  <r>
    <x v="435"/>
    <x v="148"/>
    <x v="97"/>
    <x v="1"/>
    <x v="12"/>
    <n v="5"/>
    <n v="2299"/>
    <n v="0.15"/>
    <x v="1"/>
    <s v="Debit Card"/>
    <x v="1"/>
    <n v="1724.25"/>
    <n v="11495"/>
    <n v="9770.75"/>
    <n v="0"/>
  </r>
  <r>
    <x v="436"/>
    <x v="148"/>
    <x v="70"/>
    <x v="1"/>
    <x v="1"/>
    <n v="1"/>
    <n v="1299"/>
    <n v="0.05"/>
    <x v="3"/>
    <s v="UPI"/>
    <x v="2"/>
    <n v="64.950000000000045"/>
    <n v="1299"/>
    <n v="1234.05"/>
    <n v="0"/>
  </r>
  <r>
    <x v="437"/>
    <x v="149"/>
    <x v="68"/>
    <x v="3"/>
    <x v="4"/>
    <n v="1"/>
    <n v="499"/>
    <n v="0.1"/>
    <x v="0"/>
    <s v="Net Banking"/>
    <x v="0"/>
    <n v="49.899999999999977"/>
    <n v="499"/>
    <n v="449.1"/>
    <n v="449.1"/>
  </r>
  <r>
    <x v="438"/>
    <x v="149"/>
    <x v="26"/>
    <x v="0"/>
    <x v="18"/>
    <n v="1"/>
    <n v="1199"/>
    <n v="0"/>
    <x v="3"/>
    <s v="Net Banking"/>
    <x v="0"/>
    <n v="0"/>
    <n v="1199"/>
    <n v="1199"/>
    <n v="1199"/>
  </r>
  <r>
    <x v="439"/>
    <x v="150"/>
    <x v="67"/>
    <x v="0"/>
    <x v="14"/>
    <n v="2"/>
    <n v="1499"/>
    <n v="0"/>
    <x v="0"/>
    <s v="Debit Card"/>
    <x v="1"/>
    <n v="0"/>
    <n v="2998"/>
    <n v="2998"/>
    <n v="0"/>
  </r>
  <r>
    <x v="440"/>
    <x v="150"/>
    <x v="27"/>
    <x v="0"/>
    <x v="0"/>
    <n v="1"/>
    <n v="499"/>
    <n v="0.1"/>
    <x v="3"/>
    <s v="Credit Card"/>
    <x v="0"/>
    <n v="49.899999999999977"/>
    <n v="499"/>
    <n v="449.1"/>
    <n v="449.1"/>
  </r>
  <r>
    <x v="441"/>
    <x v="151"/>
    <x v="45"/>
    <x v="2"/>
    <x v="2"/>
    <n v="2"/>
    <n v="349"/>
    <n v="0.15"/>
    <x v="2"/>
    <s v="Cash on Delivery"/>
    <x v="0"/>
    <n v="104.70000000000005"/>
    <n v="698"/>
    <n v="593.29999999999995"/>
    <n v="593.29999999999995"/>
  </r>
  <r>
    <x v="442"/>
    <x v="151"/>
    <x v="34"/>
    <x v="0"/>
    <x v="18"/>
    <n v="3"/>
    <n v="1199"/>
    <n v="0.15"/>
    <x v="2"/>
    <s v="UPI"/>
    <x v="2"/>
    <n v="539.55000000000018"/>
    <n v="3597"/>
    <n v="3057.45"/>
    <n v="0"/>
  </r>
  <r>
    <x v="443"/>
    <x v="152"/>
    <x v="42"/>
    <x v="3"/>
    <x v="3"/>
    <n v="2"/>
    <n v="6499"/>
    <n v="0.15"/>
    <x v="2"/>
    <s v="Net Banking"/>
    <x v="0"/>
    <n v="1949.7000000000007"/>
    <n v="12998"/>
    <n v="11048.3"/>
    <n v="11048.3"/>
  </r>
  <r>
    <x v="444"/>
    <x v="153"/>
    <x v="94"/>
    <x v="1"/>
    <x v="10"/>
    <n v="2"/>
    <n v="1799"/>
    <n v="0.15"/>
    <x v="1"/>
    <s v="Debit Card"/>
    <x v="2"/>
    <n v="539.70000000000027"/>
    <n v="3598"/>
    <n v="3058.2999999999997"/>
    <n v="0"/>
  </r>
  <r>
    <x v="445"/>
    <x v="153"/>
    <x v="39"/>
    <x v="2"/>
    <x v="5"/>
    <n v="1"/>
    <n v="199"/>
    <n v="0.1"/>
    <x v="0"/>
    <s v="Credit Card"/>
    <x v="2"/>
    <n v="19.900000000000006"/>
    <n v="199"/>
    <n v="179.1"/>
    <n v="0"/>
  </r>
  <r>
    <x v="446"/>
    <x v="154"/>
    <x v="10"/>
    <x v="1"/>
    <x v="8"/>
    <n v="2"/>
    <n v="799"/>
    <n v="0.05"/>
    <x v="0"/>
    <s v="Credit Card"/>
    <x v="2"/>
    <n v="79.900000000000091"/>
    <n v="1598"/>
    <n v="1518.1"/>
    <n v="0"/>
  </r>
  <r>
    <x v="447"/>
    <x v="154"/>
    <x v="63"/>
    <x v="1"/>
    <x v="8"/>
    <n v="1"/>
    <n v="799"/>
    <n v="0.1"/>
    <x v="0"/>
    <s v="Credit Card"/>
    <x v="1"/>
    <n v="79.899999999999977"/>
    <n v="799"/>
    <n v="719.1"/>
    <n v="0"/>
  </r>
  <r>
    <x v="448"/>
    <x v="155"/>
    <x v="64"/>
    <x v="1"/>
    <x v="15"/>
    <n v="1"/>
    <n v="999"/>
    <n v="0.05"/>
    <x v="2"/>
    <s v="UPI"/>
    <x v="2"/>
    <n v="49.950000000000045"/>
    <n v="999"/>
    <n v="949.05"/>
    <n v="0"/>
  </r>
  <r>
    <x v="449"/>
    <x v="156"/>
    <x v="37"/>
    <x v="2"/>
    <x v="2"/>
    <n v="2"/>
    <n v="349"/>
    <n v="0"/>
    <x v="1"/>
    <s v="Debit Card"/>
    <x v="0"/>
    <n v="0"/>
    <n v="698"/>
    <n v="698"/>
    <n v="698"/>
  </r>
  <r>
    <x v="450"/>
    <x v="156"/>
    <x v="75"/>
    <x v="3"/>
    <x v="16"/>
    <n v="1"/>
    <n v="1599"/>
    <n v="0"/>
    <x v="1"/>
    <s v="Debit Card"/>
    <x v="0"/>
    <n v="0"/>
    <n v="1599"/>
    <n v="1599"/>
    <n v="1599"/>
  </r>
  <r>
    <x v="451"/>
    <x v="157"/>
    <x v="58"/>
    <x v="0"/>
    <x v="14"/>
    <n v="4"/>
    <n v="1499"/>
    <n v="0.05"/>
    <x v="1"/>
    <s v="UPI"/>
    <x v="0"/>
    <n v="299.80000000000018"/>
    <n v="5996"/>
    <n v="5696.2"/>
    <n v="5696.2"/>
  </r>
  <r>
    <x v="452"/>
    <x v="157"/>
    <x v="29"/>
    <x v="0"/>
    <x v="0"/>
    <n v="2"/>
    <n v="499"/>
    <n v="0.05"/>
    <x v="2"/>
    <s v="Net Banking"/>
    <x v="0"/>
    <n v="49.900000000000091"/>
    <n v="998"/>
    <n v="948.09999999999991"/>
    <n v="948.09999999999991"/>
  </r>
  <r>
    <x v="453"/>
    <x v="157"/>
    <x v="51"/>
    <x v="3"/>
    <x v="16"/>
    <n v="1"/>
    <n v="1599"/>
    <n v="0.2"/>
    <x v="2"/>
    <s v="Net Banking"/>
    <x v="0"/>
    <n v="319.79999999999995"/>
    <n v="1599"/>
    <n v="1279.2"/>
    <n v="1279.2"/>
  </r>
  <r>
    <x v="454"/>
    <x v="158"/>
    <x v="67"/>
    <x v="3"/>
    <x v="7"/>
    <n v="1"/>
    <n v="599"/>
    <n v="0"/>
    <x v="2"/>
    <s v="Debit Card"/>
    <x v="0"/>
    <n v="0"/>
    <n v="599"/>
    <n v="599"/>
    <n v="599"/>
  </r>
  <r>
    <x v="455"/>
    <x v="159"/>
    <x v="20"/>
    <x v="3"/>
    <x v="6"/>
    <n v="4"/>
    <n v="899"/>
    <n v="0.1"/>
    <x v="3"/>
    <s v="Credit Card"/>
    <x v="1"/>
    <n v="359.59999999999991"/>
    <n v="3596"/>
    <n v="3236.4"/>
    <n v="0"/>
  </r>
  <r>
    <x v="456"/>
    <x v="160"/>
    <x v="18"/>
    <x v="0"/>
    <x v="19"/>
    <n v="1"/>
    <n v="699"/>
    <n v="0.05"/>
    <x v="1"/>
    <s v="Credit Card"/>
    <x v="0"/>
    <n v="34.950000000000045"/>
    <n v="699"/>
    <n v="664.05"/>
    <n v="664.05"/>
  </r>
  <r>
    <x v="457"/>
    <x v="160"/>
    <x v="53"/>
    <x v="0"/>
    <x v="18"/>
    <n v="1"/>
    <n v="1199"/>
    <n v="0.05"/>
    <x v="2"/>
    <s v="Cash on Delivery"/>
    <x v="0"/>
    <n v="59.950000000000045"/>
    <n v="1199"/>
    <n v="1139.05"/>
    <n v="1139.05"/>
  </r>
  <r>
    <x v="458"/>
    <x v="161"/>
    <x v="68"/>
    <x v="2"/>
    <x v="5"/>
    <n v="1"/>
    <n v="199"/>
    <n v="0.1"/>
    <x v="0"/>
    <s v="Credit Card"/>
    <x v="0"/>
    <n v="19.900000000000006"/>
    <n v="199"/>
    <n v="179.1"/>
    <n v="179.1"/>
  </r>
  <r>
    <x v="459"/>
    <x v="161"/>
    <x v="87"/>
    <x v="3"/>
    <x v="6"/>
    <n v="2"/>
    <n v="899"/>
    <n v="0.1"/>
    <x v="2"/>
    <s v="Cash on Delivery"/>
    <x v="0"/>
    <n v="179.79999999999995"/>
    <n v="1798"/>
    <n v="1618.2"/>
    <n v="1618.2"/>
  </r>
  <r>
    <x v="460"/>
    <x v="161"/>
    <x v="22"/>
    <x v="2"/>
    <x v="17"/>
    <n v="4"/>
    <n v="249"/>
    <n v="0.2"/>
    <x v="0"/>
    <s v="UPI"/>
    <x v="0"/>
    <n v="199.19999999999993"/>
    <n v="996"/>
    <n v="796.80000000000007"/>
    <n v="796.80000000000007"/>
  </r>
  <r>
    <x v="461"/>
    <x v="161"/>
    <x v="71"/>
    <x v="2"/>
    <x v="13"/>
    <n v="4"/>
    <n v="299"/>
    <n v="0.15"/>
    <x v="3"/>
    <s v="UPI"/>
    <x v="0"/>
    <n v="179.39999999999998"/>
    <n v="1196"/>
    <n v="1016.6"/>
    <n v="1016.6"/>
  </r>
  <r>
    <x v="462"/>
    <x v="161"/>
    <x v="51"/>
    <x v="3"/>
    <x v="6"/>
    <n v="2"/>
    <n v="899"/>
    <n v="0"/>
    <x v="2"/>
    <s v="Debit Card"/>
    <x v="0"/>
    <n v="0"/>
    <n v="1798"/>
    <n v="1798"/>
    <n v="1798"/>
  </r>
  <r>
    <x v="463"/>
    <x v="161"/>
    <x v="23"/>
    <x v="3"/>
    <x v="6"/>
    <n v="1"/>
    <n v="899"/>
    <n v="0.1"/>
    <x v="0"/>
    <s v="Net Banking"/>
    <x v="2"/>
    <n v="89.899999999999977"/>
    <n v="899"/>
    <n v="809.1"/>
    <n v="0"/>
  </r>
  <r>
    <x v="464"/>
    <x v="161"/>
    <x v="82"/>
    <x v="1"/>
    <x v="10"/>
    <n v="2"/>
    <n v="1799"/>
    <n v="0.2"/>
    <x v="2"/>
    <s v="Cash on Delivery"/>
    <x v="0"/>
    <n v="719.59999999999991"/>
    <n v="3598"/>
    <n v="2878.4"/>
    <n v="2878.4"/>
  </r>
  <r>
    <x v="465"/>
    <x v="162"/>
    <x v="51"/>
    <x v="1"/>
    <x v="10"/>
    <n v="1"/>
    <n v="1799"/>
    <n v="0"/>
    <x v="2"/>
    <s v="UPI"/>
    <x v="0"/>
    <n v="0"/>
    <n v="1799"/>
    <n v="1799"/>
    <n v="1799"/>
  </r>
  <r>
    <x v="466"/>
    <x v="162"/>
    <x v="11"/>
    <x v="0"/>
    <x v="18"/>
    <n v="5"/>
    <n v="1199"/>
    <n v="0"/>
    <x v="3"/>
    <s v="Net Banking"/>
    <x v="0"/>
    <n v="0"/>
    <n v="5995"/>
    <n v="5995"/>
    <n v="5995"/>
  </r>
  <r>
    <x v="467"/>
    <x v="162"/>
    <x v="30"/>
    <x v="3"/>
    <x v="7"/>
    <n v="2"/>
    <n v="599"/>
    <n v="0"/>
    <x v="3"/>
    <s v="Net Banking"/>
    <x v="0"/>
    <n v="0"/>
    <n v="1198"/>
    <n v="1198"/>
    <n v="1198"/>
  </r>
  <r>
    <x v="468"/>
    <x v="162"/>
    <x v="94"/>
    <x v="0"/>
    <x v="18"/>
    <n v="4"/>
    <n v="1199"/>
    <n v="0.1"/>
    <x v="2"/>
    <s v="Cash on Delivery"/>
    <x v="0"/>
    <n v="479.59999999999945"/>
    <n v="4796"/>
    <n v="4316.4000000000005"/>
    <n v="4316.4000000000005"/>
  </r>
  <r>
    <x v="469"/>
    <x v="163"/>
    <x v="4"/>
    <x v="0"/>
    <x v="9"/>
    <n v="1"/>
    <n v="299"/>
    <n v="0.1"/>
    <x v="3"/>
    <s v="Credit Card"/>
    <x v="0"/>
    <n v="29.899999999999977"/>
    <n v="299"/>
    <n v="269.10000000000002"/>
    <n v="269.10000000000002"/>
  </r>
  <r>
    <x v="470"/>
    <x v="163"/>
    <x v="35"/>
    <x v="1"/>
    <x v="8"/>
    <n v="1"/>
    <n v="799"/>
    <n v="0"/>
    <x v="0"/>
    <s v="Cash on Delivery"/>
    <x v="0"/>
    <n v="0"/>
    <n v="799"/>
    <n v="799"/>
    <n v="799"/>
  </r>
  <r>
    <x v="471"/>
    <x v="163"/>
    <x v="50"/>
    <x v="1"/>
    <x v="1"/>
    <n v="1"/>
    <n v="1299"/>
    <n v="0"/>
    <x v="2"/>
    <s v="Net Banking"/>
    <x v="0"/>
    <n v="0"/>
    <n v="1299"/>
    <n v="1299"/>
    <n v="1299"/>
  </r>
  <r>
    <x v="472"/>
    <x v="164"/>
    <x v="63"/>
    <x v="1"/>
    <x v="1"/>
    <n v="3"/>
    <n v="1299"/>
    <n v="0.1"/>
    <x v="3"/>
    <s v="Debit Card"/>
    <x v="0"/>
    <n v="389.69999999999982"/>
    <n v="3897"/>
    <n v="3507.3"/>
    <n v="3507.3"/>
  </r>
  <r>
    <x v="473"/>
    <x v="164"/>
    <x v="48"/>
    <x v="1"/>
    <x v="1"/>
    <n v="1"/>
    <n v="1299"/>
    <n v="0.05"/>
    <x v="1"/>
    <s v="Debit Card"/>
    <x v="0"/>
    <n v="64.950000000000045"/>
    <n v="1299"/>
    <n v="1234.05"/>
    <n v="1234.05"/>
  </r>
  <r>
    <x v="474"/>
    <x v="165"/>
    <x v="79"/>
    <x v="2"/>
    <x v="13"/>
    <n v="1"/>
    <n v="299"/>
    <n v="0.2"/>
    <x v="0"/>
    <s v="Credit Card"/>
    <x v="0"/>
    <n v="59.799999999999983"/>
    <n v="299"/>
    <n v="239.20000000000002"/>
    <n v="239.20000000000002"/>
  </r>
  <r>
    <x v="475"/>
    <x v="165"/>
    <x v="33"/>
    <x v="3"/>
    <x v="3"/>
    <n v="5"/>
    <n v="6499"/>
    <n v="0.05"/>
    <x v="1"/>
    <s v="Debit Card"/>
    <x v="2"/>
    <n v="1624.75"/>
    <n v="32495"/>
    <n v="30870.25"/>
    <n v="0"/>
  </r>
  <r>
    <x v="476"/>
    <x v="165"/>
    <x v="88"/>
    <x v="2"/>
    <x v="11"/>
    <n v="1"/>
    <n v="399"/>
    <n v="0.1"/>
    <x v="0"/>
    <s v="UPI"/>
    <x v="2"/>
    <n v="39.899999999999977"/>
    <n v="399"/>
    <n v="359.1"/>
    <n v="0"/>
  </r>
  <r>
    <x v="477"/>
    <x v="165"/>
    <x v="22"/>
    <x v="0"/>
    <x v="14"/>
    <n v="4"/>
    <n v="1499"/>
    <n v="0.05"/>
    <x v="3"/>
    <s v="Credit Card"/>
    <x v="0"/>
    <n v="299.80000000000018"/>
    <n v="5996"/>
    <n v="5696.2"/>
    <n v="5696.2"/>
  </r>
  <r>
    <x v="478"/>
    <x v="166"/>
    <x v="18"/>
    <x v="3"/>
    <x v="4"/>
    <n v="2"/>
    <n v="499"/>
    <n v="0.1"/>
    <x v="3"/>
    <s v="UPI"/>
    <x v="2"/>
    <n v="99.799999999999955"/>
    <n v="998"/>
    <n v="898.2"/>
    <n v="0"/>
  </r>
  <r>
    <x v="479"/>
    <x v="166"/>
    <x v="38"/>
    <x v="1"/>
    <x v="1"/>
    <n v="4"/>
    <n v="1299"/>
    <n v="0.15"/>
    <x v="1"/>
    <s v="Credit Card"/>
    <x v="1"/>
    <n v="779.40000000000055"/>
    <n v="5196"/>
    <n v="4416.5999999999995"/>
    <n v="0"/>
  </r>
  <r>
    <x v="480"/>
    <x v="166"/>
    <x v="64"/>
    <x v="3"/>
    <x v="4"/>
    <n v="3"/>
    <n v="499"/>
    <n v="0.15"/>
    <x v="2"/>
    <s v="Net Banking"/>
    <x v="0"/>
    <n v="224.54999999999995"/>
    <n v="1497"/>
    <n v="1272.45"/>
    <n v="1272.45"/>
  </r>
  <r>
    <x v="481"/>
    <x v="167"/>
    <x v="85"/>
    <x v="3"/>
    <x v="16"/>
    <n v="1"/>
    <n v="1599"/>
    <n v="0.1"/>
    <x v="2"/>
    <s v="Cash on Delivery"/>
    <x v="0"/>
    <n v="159.89999999999986"/>
    <n v="1599"/>
    <n v="1439.1000000000001"/>
    <n v="1439.1000000000001"/>
  </r>
  <r>
    <x v="482"/>
    <x v="167"/>
    <x v="44"/>
    <x v="0"/>
    <x v="14"/>
    <n v="1"/>
    <n v="1499"/>
    <n v="0"/>
    <x v="3"/>
    <s v="Debit Card"/>
    <x v="0"/>
    <n v="0"/>
    <n v="1499"/>
    <n v="1499"/>
    <n v="1499"/>
  </r>
  <r>
    <x v="483"/>
    <x v="167"/>
    <x v="65"/>
    <x v="1"/>
    <x v="8"/>
    <n v="2"/>
    <n v="799"/>
    <n v="0.1"/>
    <x v="0"/>
    <s v="UPI"/>
    <x v="1"/>
    <n v="159.79999999999995"/>
    <n v="1598"/>
    <n v="1438.2"/>
    <n v="0"/>
  </r>
  <r>
    <x v="484"/>
    <x v="167"/>
    <x v="14"/>
    <x v="1"/>
    <x v="12"/>
    <n v="1"/>
    <n v="2299"/>
    <n v="0"/>
    <x v="2"/>
    <s v="Cash on Delivery"/>
    <x v="0"/>
    <n v="0"/>
    <n v="2299"/>
    <n v="2299"/>
    <n v="2299"/>
  </r>
  <r>
    <x v="485"/>
    <x v="168"/>
    <x v="83"/>
    <x v="2"/>
    <x v="13"/>
    <n v="4"/>
    <n v="299"/>
    <n v="0.2"/>
    <x v="1"/>
    <s v="UPI"/>
    <x v="2"/>
    <n v="239.19999999999993"/>
    <n v="1196"/>
    <n v="956.80000000000007"/>
    <n v="0"/>
  </r>
  <r>
    <x v="486"/>
    <x v="168"/>
    <x v="18"/>
    <x v="0"/>
    <x v="14"/>
    <n v="4"/>
    <n v="1499"/>
    <n v="0.05"/>
    <x v="1"/>
    <s v="Net Banking"/>
    <x v="0"/>
    <n v="299.80000000000018"/>
    <n v="5996"/>
    <n v="5696.2"/>
    <n v="5696.2"/>
  </r>
  <r>
    <x v="487"/>
    <x v="169"/>
    <x v="79"/>
    <x v="2"/>
    <x v="17"/>
    <n v="1"/>
    <n v="249"/>
    <n v="0.05"/>
    <x v="3"/>
    <s v="Net Banking"/>
    <x v="0"/>
    <n v="12.450000000000017"/>
    <n v="249"/>
    <n v="236.54999999999998"/>
    <n v="236.54999999999998"/>
  </r>
  <r>
    <x v="488"/>
    <x v="169"/>
    <x v="98"/>
    <x v="0"/>
    <x v="14"/>
    <n v="1"/>
    <n v="1499"/>
    <n v="0"/>
    <x v="1"/>
    <s v="Net Banking"/>
    <x v="0"/>
    <n v="0"/>
    <n v="1499"/>
    <n v="1499"/>
    <n v="1499"/>
  </r>
  <r>
    <x v="489"/>
    <x v="169"/>
    <x v="61"/>
    <x v="1"/>
    <x v="15"/>
    <n v="5"/>
    <n v="999"/>
    <n v="0.05"/>
    <x v="0"/>
    <s v="Debit Card"/>
    <x v="2"/>
    <n v="249.75"/>
    <n v="4995"/>
    <n v="4745.25"/>
    <n v="0"/>
  </r>
  <r>
    <x v="490"/>
    <x v="170"/>
    <x v="3"/>
    <x v="2"/>
    <x v="11"/>
    <n v="3"/>
    <n v="399"/>
    <n v="0.15"/>
    <x v="0"/>
    <s v="Credit Card"/>
    <x v="0"/>
    <n v="179.55000000000007"/>
    <n v="1197"/>
    <n v="1017.4499999999999"/>
    <n v="1017.4499999999999"/>
  </r>
  <r>
    <x v="491"/>
    <x v="170"/>
    <x v="14"/>
    <x v="1"/>
    <x v="8"/>
    <n v="5"/>
    <n v="799"/>
    <n v="0.15"/>
    <x v="1"/>
    <s v="UPI"/>
    <x v="1"/>
    <n v="599.25"/>
    <n v="3995"/>
    <n v="3395.75"/>
    <n v="0"/>
  </r>
  <r>
    <x v="492"/>
    <x v="170"/>
    <x v="96"/>
    <x v="3"/>
    <x v="16"/>
    <n v="4"/>
    <n v="1599"/>
    <n v="0.1"/>
    <x v="3"/>
    <s v="Credit Card"/>
    <x v="0"/>
    <n v="639.59999999999945"/>
    <n v="6396"/>
    <n v="5756.4000000000005"/>
    <n v="5756.4000000000005"/>
  </r>
  <r>
    <x v="493"/>
    <x v="170"/>
    <x v="18"/>
    <x v="3"/>
    <x v="6"/>
    <n v="3"/>
    <n v="899"/>
    <n v="0.2"/>
    <x v="0"/>
    <s v="UPI"/>
    <x v="0"/>
    <n v="539.40000000000009"/>
    <n v="2697"/>
    <n v="2157.6"/>
    <n v="2157.6"/>
  </r>
  <r>
    <x v="494"/>
    <x v="171"/>
    <x v="74"/>
    <x v="1"/>
    <x v="1"/>
    <n v="2"/>
    <n v="1299"/>
    <n v="0.1"/>
    <x v="3"/>
    <s v="Credit Card"/>
    <x v="0"/>
    <n v="259.79999999999973"/>
    <n v="2598"/>
    <n v="2338.2000000000003"/>
    <n v="2338.2000000000003"/>
  </r>
  <r>
    <x v="495"/>
    <x v="171"/>
    <x v="84"/>
    <x v="2"/>
    <x v="2"/>
    <n v="3"/>
    <n v="349"/>
    <n v="0.15"/>
    <x v="0"/>
    <s v="Net Banking"/>
    <x v="1"/>
    <n v="157.05000000000007"/>
    <n v="1047"/>
    <n v="889.94999999999993"/>
    <n v="0"/>
  </r>
  <r>
    <x v="496"/>
    <x v="171"/>
    <x v="82"/>
    <x v="2"/>
    <x v="17"/>
    <n v="1"/>
    <n v="249"/>
    <n v="0.1"/>
    <x v="3"/>
    <s v="UPI"/>
    <x v="0"/>
    <n v="24.900000000000006"/>
    <n v="249"/>
    <n v="224.1"/>
    <n v="224.1"/>
  </r>
  <r>
    <x v="497"/>
    <x v="171"/>
    <x v="78"/>
    <x v="3"/>
    <x v="3"/>
    <n v="5"/>
    <n v="6499"/>
    <n v="0.1"/>
    <x v="2"/>
    <s v="Credit Card"/>
    <x v="0"/>
    <n v="3249.5"/>
    <n v="32495"/>
    <n v="29245.5"/>
    <n v="29245.5"/>
  </r>
  <r>
    <x v="498"/>
    <x v="171"/>
    <x v="66"/>
    <x v="2"/>
    <x v="13"/>
    <n v="4"/>
    <n v="299"/>
    <n v="0.2"/>
    <x v="0"/>
    <s v="Cash on Delivery"/>
    <x v="0"/>
    <n v="239.19999999999993"/>
    <n v="1196"/>
    <n v="956.80000000000007"/>
    <n v="956.80000000000007"/>
  </r>
  <r>
    <x v="499"/>
    <x v="171"/>
    <x v="0"/>
    <x v="2"/>
    <x v="11"/>
    <n v="2"/>
    <n v="399"/>
    <n v="0.1"/>
    <x v="1"/>
    <s v="Debit Card"/>
    <x v="0"/>
    <n v="79.799999999999955"/>
    <n v="798"/>
    <n v="718.2"/>
    <n v="7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617475-E600-4851-AA03-DA6E3F4FFD6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K14:O20" firstHeaderRow="1" firstDataRow="2" firstDataCol="1"/>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axis="axisRow" showAll="0">
      <items count="5">
        <item x="0"/>
        <item x="1"/>
        <item x="3"/>
        <item x="2"/>
        <item t="default"/>
      </items>
    </pivotField>
    <pivotField showAll="0"/>
    <pivotField showAll="0"/>
    <pivotField showAll="0"/>
    <pivotField showAll="0"/>
    <pivotField showAll="0"/>
    <pivotField showAll="0"/>
    <pivotField axis="axisCol" dataField="1" showAll="0">
      <items count="4">
        <item x="1"/>
        <item x="0"/>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5">
    <i>
      <x/>
    </i>
    <i>
      <x v="1"/>
    </i>
    <i>
      <x v="2"/>
    </i>
    <i>
      <x v="3"/>
    </i>
    <i t="grand">
      <x/>
    </i>
  </rowItems>
  <colFields count="1">
    <field x="10"/>
  </colFields>
  <colItems count="4">
    <i>
      <x/>
    </i>
    <i>
      <x v="1"/>
    </i>
    <i>
      <x v="2"/>
    </i>
    <i t="grand">
      <x/>
    </i>
  </colItems>
  <dataFields count="1">
    <dataField name="Count of Order_Status" fld="10" subtotal="count" baseField="0" baseItem="0"/>
  </dataFields>
  <formats count="10">
    <format dxfId="10">
      <pivotArea type="all" dataOnly="0" outline="0" fieldPosition="0"/>
    </format>
    <format dxfId="9">
      <pivotArea outline="0" collapsedLevelsAreSubtotals="1" fieldPosition="0"/>
    </format>
    <format dxfId="8">
      <pivotArea type="origin" dataOnly="0" labelOnly="1" outline="0" fieldPosition="0"/>
    </format>
    <format dxfId="7">
      <pivotArea field="10" type="button" dataOnly="0" labelOnly="1" outline="0" axis="axisCol" fieldPosition="0"/>
    </format>
    <format dxfId="6">
      <pivotArea type="topRight" dataOnly="0" labelOnly="1" outline="0"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fieldPosition="0">
        <references count="1">
          <reference field="10" count="0"/>
        </references>
      </pivotArea>
    </format>
    <format dxfId="1">
      <pivotArea dataOnly="0" labelOnly="1" grandCol="1" outline="0" fieldPosition="0"/>
    </format>
  </formats>
  <chartFormats count="15">
    <chartFormat chart="6" format="32" series="1">
      <pivotArea type="data" outline="0" fieldPosition="0">
        <references count="2">
          <reference field="4294967294" count="1" selected="0">
            <x v="0"/>
          </reference>
          <reference field="10" count="1" selected="0">
            <x v="0"/>
          </reference>
        </references>
      </pivotArea>
    </chartFormat>
    <chartFormat chart="6" format="33">
      <pivotArea type="data" outline="0" fieldPosition="0">
        <references count="3">
          <reference field="4294967294" count="1" selected="0">
            <x v="0"/>
          </reference>
          <reference field="3" count="1" selected="0">
            <x v="1"/>
          </reference>
          <reference field="10" count="1" selected="0">
            <x v="0"/>
          </reference>
        </references>
      </pivotArea>
    </chartFormat>
    <chartFormat chart="6" format="34">
      <pivotArea type="data" outline="0" fieldPosition="0">
        <references count="3">
          <reference field="4294967294" count="1" selected="0">
            <x v="0"/>
          </reference>
          <reference field="3" count="1" selected="0">
            <x v="2"/>
          </reference>
          <reference field="10" count="1" selected="0">
            <x v="0"/>
          </reference>
        </references>
      </pivotArea>
    </chartFormat>
    <chartFormat chart="6" format="35">
      <pivotArea type="data" outline="0" fieldPosition="0">
        <references count="3">
          <reference field="4294967294" count="1" selected="0">
            <x v="0"/>
          </reference>
          <reference field="3" count="1" selected="0">
            <x v="3"/>
          </reference>
          <reference field="10" count="1" selected="0">
            <x v="0"/>
          </reference>
        </references>
      </pivotArea>
    </chartFormat>
    <chartFormat chart="6" format="36" series="1">
      <pivotArea type="data" outline="0" fieldPosition="0">
        <references count="2">
          <reference field="4294967294" count="1" selected="0">
            <x v="0"/>
          </reference>
          <reference field="10" count="1" selected="0">
            <x v="1"/>
          </reference>
        </references>
      </pivotArea>
    </chartFormat>
    <chartFormat chart="6" format="37">
      <pivotArea type="data" outline="0" fieldPosition="0">
        <references count="3">
          <reference field="4294967294" count="1" selected="0">
            <x v="0"/>
          </reference>
          <reference field="3" count="1" selected="0">
            <x v="0"/>
          </reference>
          <reference field="10" count="1" selected="0">
            <x v="1"/>
          </reference>
        </references>
      </pivotArea>
    </chartFormat>
    <chartFormat chart="6" format="38">
      <pivotArea type="data" outline="0" fieldPosition="0">
        <references count="3">
          <reference field="4294967294" count="1" selected="0">
            <x v="0"/>
          </reference>
          <reference field="3" count="1" selected="0">
            <x v="1"/>
          </reference>
          <reference field="10" count="1" selected="0">
            <x v="1"/>
          </reference>
        </references>
      </pivotArea>
    </chartFormat>
    <chartFormat chart="6" format="39">
      <pivotArea type="data" outline="0" fieldPosition="0">
        <references count="3">
          <reference field="4294967294" count="1" selected="0">
            <x v="0"/>
          </reference>
          <reference field="3" count="1" selected="0">
            <x v="2"/>
          </reference>
          <reference field="10" count="1" selected="0">
            <x v="1"/>
          </reference>
        </references>
      </pivotArea>
    </chartFormat>
    <chartFormat chart="6" format="40">
      <pivotArea type="data" outline="0" fieldPosition="0">
        <references count="3">
          <reference field="4294967294" count="1" selected="0">
            <x v="0"/>
          </reference>
          <reference field="3" count="1" selected="0">
            <x v="3"/>
          </reference>
          <reference field="10" count="1" selected="0">
            <x v="1"/>
          </reference>
        </references>
      </pivotArea>
    </chartFormat>
    <chartFormat chart="6" format="41" series="1">
      <pivotArea type="data" outline="0" fieldPosition="0">
        <references count="2">
          <reference field="4294967294" count="1" selected="0">
            <x v="0"/>
          </reference>
          <reference field="10" count="1" selected="0">
            <x v="2"/>
          </reference>
        </references>
      </pivotArea>
    </chartFormat>
    <chartFormat chart="6" format="42">
      <pivotArea type="data" outline="0" fieldPosition="0">
        <references count="3">
          <reference field="4294967294" count="1" selected="0">
            <x v="0"/>
          </reference>
          <reference field="3" count="1" selected="0">
            <x v="0"/>
          </reference>
          <reference field="10" count="1" selected="0">
            <x v="2"/>
          </reference>
        </references>
      </pivotArea>
    </chartFormat>
    <chartFormat chart="6" format="43">
      <pivotArea type="data" outline="0" fieldPosition="0">
        <references count="3">
          <reference field="4294967294" count="1" selected="0">
            <x v="0"/>
          </reference>
          <reference field="3" count="1" selected="0">
            <x v="1"/>
          </reference>
          <reference field="10" count="1" selected="0">
            <x v="2"/>
          </reference>
        </references>
      </pivotArea>
    </chartFormat>
    <chartFormat chart="6" format="44">
      <pivotArea type="data" outline="0" fieldPosition="0">
        <references count="3">
          <reference field="4294967294" count="1" selected="0">
            <x v="0"/>
          </reference>
          <reference field="3" count="1" selected="0">
            <x v="2"/>
          </reference>
          <reference field="10" count="1" selected="0">
            <x v="2"/>
          </reference>
        </references>
      </pivotArea>
    </chartFormat>
    <chartFormat chart="6" format="45">
      <pivotArea type="data" outline="0" fieldPosition="0">
        <references count="3">
          <reference field="4294967294" count="1" selected="0">
            <x v="0"/>
          </reference>
          <reference field="3" count="1" selected="0">
            <x v="3"/>
          </reference>
          <reference field="10" count="1" selected="0">
            <x v="2"/>
          </reference>
        </references>
      </pivotArea>
    </chartFormat>
    <chartFormat chart="6" format="46">
      <pivotArea type="data" outline="0" fieldPosition="0">
        <references count="3">
          <reference field="4294967294" count="1" selected="0">
            <x v="0"/>
          </reference>
          <reference field="3"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B5D88-619E-4A26-B810-95D9777B7284}" name="Quantity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Quantity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0C5079-5759-4547-BBB3-1630F62759AB}" name="PivotTable3" cacheId="3" applyNumberFormats="0" applyBorderFormats="0" applyFontFormats="0" applyPatternFormats="0" applyAlignmentFormats="0" applyWidthHeightFormats="1" dataCaption="Values" tag="1975d052-a06f-42bf-81f4-b5f593865ceb" updatedVersion="8" minRefreshableVersion="3" rowGrandTotals="0" colGrandTotals="0" itemPrintTitles="1" createdVersion="8" indent="0" outline="1" outlineData="1" multipleFieldFilters="0" chartFormat="3" rowHeaderCaption="Region">
  <location ref="A36:C40"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name="Count of Order_ID" fld="2" subtotal="count" baseField="0" baseItem="0"/>
    <dataField name="Sum of Revenue" fld="1" baseField="0" baseItem="0" numFmtId="165"/>
  </dataFields>
  <formats count="6">
    <format dxfId="16">
      <pivotArea outline="0" collapsedLevelsAreSubtotals="1" fieldPosition="0">
        <references count="1">
          <reference field="4294967294" count="1" selected="0">
            <x v="1"/>
          </reference>
        </references>
      </pivotArea>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outline="0" fieldPosition="0">
        <references count="1">
          <reference field="4294967294" count="1">
            <x v="1"/>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ecommerc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7B654D-B84C-4F1E-B90D-A35DA024546E}" name="monthWise"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0" rowHeaderCaption="Monthly_Performance">
  <location ref="A6:D12" firstHeaderRow="0" firstDataRow="1" firstDataCol="1"/>
  <pivotFields count="18">
    <pivotField dataField="1"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multipleItemSelectionAllowed="1"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6"/>
  </rowFields>
  <rowItems count="6">
    <i>
      <x v="1"/>
    </i>
    <i>
      <x v="2"/>
    </i>
    <i>
      <x v="3"/>
    </i>
    <i>
      <x v="4"/>
    </i>
    <i>
      <x v="5"/>
    </i>
    <i>
      <x v="6"/>
    </i>
  </rowItems>
  <colFields count="1">
    <field x="-2"/>
  </colFields>
  <colItems count="3">
    <i>
      <x/>
    </i>
    <i i="1">
      <x v="1"/>
    </i>
    <i i="2">
      <x v="2"/>
    </i>
  </colItems>
  <dataFields count="3">
    <dataField name="Count of Order_ID" fld="0" subtotal="count" baseField="0" baseItem="0"/>
    <dataField name="Sum of Quantity" fld="5" baseField="0" baseItem="0"/>
    <dataField name="Sum of Revenue" fld="14" baseField="0" baseItem="0" numFmtId="165"/>
  </dataFields>
  <formats count="6">
    <format dxfId="22">
      <pivotArea collapsedLevelsAreSubtotals="1" fieldPosition="0">
        <references count="2">
          <reference field="4294967294" count="1" selected="0">
            <x v="2"/>
          </reference>
          <reference field="16" count="6">
            <x v="1"/>
            <x v="2"/>
            <x v="3"/>
            <x v="4"/>
            <x v="5"/>
            <x v="6"/>
          </reference>
        </references>
      </pivotArea>
    </format>
    <format dxfId="21">
      <pivotArea type="all" dataOnly="0" outline="0" fieldPosition="0"/>
    </format>
    <format dxfId="20">
      <pivotArea outline="0" collapsedLevelsAreSubtotals="1" fieldPosition="0"/>
    </format>
    <format dxfId="19">
      <pivotArea field="16" type="button" dataOnly="0" labelOnly="1" outline="0" axis="axisRow" fieldPosition="0"/>
    </format>
    <format dxfId="18">
      <pivotArea dataOnly="0" labelOnly="1" fieldPosition="0">
        <references count="1">
          <reference field="16" count="6">
            <x v="1"/>
            <x v="2"/>
            <x v="3"/>
            <x v="4"/>
            <x v="5"/>
            <x v="6"/>
          </reference>
        </references>
      </pivotArea>
    </format>
    <format dxfId="1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F29093-7B20-483E-B8FE-483A9D3C20B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K6:M11" firstHeaderRow="0" firstDataRow="1" firstDataCol="1"/>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Sum of Net_Sales" fld="13" baseField="3" baseItem="1" numFmtId="165"/>
    <dataField name="Sum of Revenue" fld="14" baseField="0" baseItem="0" numFmtId="166"/>
  </dataFields>
  <formats count="8">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1"/>
          </reference>
        </references>
      </pivotArea>
    </format>
    <format dxfId="28">
      <pivotArea type="all" dataOnly="0" outline="0" fieldPosition="0"/>
    </format>
    <format dxfId="27">
      <pivotArea outline="0" collapsedLevelsAreSubtotals="1" fieldPosition="0"/>
    </format>
    <format dxfId="26">
      <pivotArea field="3" type="button" dataOnly="0" labelOnly="1" outline="0" axis="axisRow" fieldPosition="0"/>
    </format>
    <format dxfId="25">
      <pivotArea dataOnly="0" labelOnly="1" fieldPosition="0">
        <references count="1">
          <reference field="3" count="0"/>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s>
  <chartFormats count="2">
    <chartFormat chart="5" format="16" series="1">
      <pivotArea type="data" outline="0" fieldPosition="0">
        <references count="1">
          <reference field="4294967294" count="1" selected="0">
            <x v="1"/>
          </reference>
        </references>
      </pivotArea>
    </chartFormat>
    <chartFormat chart="5"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A9A95-C0F1-4C0B-AF72-064F0CD8E377}"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0" rowHeaderCaption="Monthly_Performance">
  <location ref="A14:C20" firstHeaderRow="0" firstDataRow="1" firstDataCol="1"/>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multipleItemSelectionAllowed="1"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6"/>
  </rowFields>
  <rowItems count="6">
    <i>
      <x v="1"/>
    </i>
    <i>
      <x v="2"/>
    </i>
    <i>
      <x v="3"/>
    </i>
    <i>
      <x v="4"/>
    </i>
    <i>
      <x v="5"/>
    </i>
    <i>
      <x v="6"/>
    </i>
  </rowItems>
  <colFields count="1">
    <field x="-2"/>
  </colFields>
  <colItems count="2">
    <i>
      <x/>
    </i>
    <i i="1">
      <x v="1"/>
    </i>
  </colItems>
  <dataFields count="2">
    <dataField name="Net Sales" fld="13" baseField="0" baseItem="0"/>
    <dataField name="Net Revenue" fld="14" baseField="0" baseItem="0"/>
  </dataFields>
  <formats count="5">
    <format dxfId="35">
      <pivotArea type="all" dataOnly="0" outline="0" fieldPosition="0"/>
    </format>
    <format dxfId="34">
      <pivotArea outline="0" collapsedLevelsAreSubtotals="1" fieldPosition="0"/>
    </format>
    <format dxfId="33">
      <pivotArea field="16" type="button" dataOnly="0" labelOnly="1" outline="0" axis="axisRow" fieldPosition="0"/>
    </format>
    <format dxfId="32">
      <pivotArea dataOnly="0" labelOnly="1" fieldPosition="0">
        <references count="1">
          <reference field="16" count="6">
            <x v="1"/>
            <x v="2"/>
            <x v="3"/>
            <x v="4"/>
            <x v="5"/>
            <x v="6"/>
          </reference>
        </references>
      </pivotArea>
    </format>
    <format dxfId="31">
      <pivotArea dataOnly="0" labelOnly="1" outline="0" fieldPosition="0">
        <references count="1">
          <reference field="4294967294" count="2">
            <x v="0"/>
            <x v="1"/>
          </reference>
        </references>
      </pivotArea>
    </format>
  </format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54BCDD-2988-41E5-A84E-EB88CF66791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op5_Products">
  <location ref="G6:H12" firstHeaderRow="1" firstDataRow="1" firstDataCol="1"/>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axis="axisRow" showAll="0" measureFilter="1">
      <items count="21">
        <item x="14"/>
        <item x="9"/>
        <item x="6"/>
        <item x="17"/>
        <item x="10"/>
        <item x="1"/>
        <item x="18"/>
        <item x="2"/>
        <item x="5"/>
        <item x="3"/>
        <item x="13"/>
        <item x="0"/>
        <item x="11"/>
        <item x="4"/>
        <item x="16"/>
        <item x="19"/>
        <item x="15"/>
        <item x="7"/>
        <item x="12"/>
        <item x="8"/>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6">
    <i>
      <x/>
    </i>
    <i>
      <x v="5"/>
    </i>
    <i>
      <x v="9"/>
    </i>
    <i>
      <x v="14"/>
    </i>
    <i>
      <x v="18"/>
    </i>
    <i t="grand">
      <x/>
    </i>
  </rowItems>
  <colItems count="1">
    <i/>
  </colItems>
  <dataFields count="1">
    <dataField name="Sum of Revenue" fld="14" baseField="0" baseItem="0"/>
  </dataFields>
  <formats count="6">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5">
            <x v="0"/>
            <x v="5"/>
            <x v="9"/>
            <x v="14"/>
            <x v="18"/>
          </reference>
        </references>
      </pivotArea>
    </format>
    <format dxfId="37">
      <pivotArea dataOnly="0" labelOnly="1" grandRow="1" outline="0" fieldPosition="0"/>
    </format>
    <format dxfId="36">
      <pivotArea dataOnly="0" labelOnly="1" outline="0" axis="axisValues" fieldPosition="0"/>
    </format>
  </formats>
  <chartFormats count="6">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4" count="1" selected="0">
            <x v="9"/>
          </reference>
        </references>
      </pivotArea>
    </chartFormat>
    <chartFormat chart="3" format="18">
      <pivotArea type="data" outline="0" fieldPosition="0">
        <references count="2">
          <reference field="4294967294" count="1" selected="0">
            <x v="0"/>
          </reference>
          <reference field="4" count="1" selected="0">
            <x v="14"/>
          </reference>
        </references>
      </pivotArea>
    </chartFormat>
    <chartFormat chart="3" format="19">
      <pivotArea type="data" outline="0" fieldPosition="0">
        <references count="2">
          <reference field="4294967294" count="1" selected="0">
            <x v="0"/>
          </reference>
          <reference field="4" count="1" selected="0">
            <x v="18"/>
          </reference>
        </references>
      </pivotArea>
    </chartFormat>
    <chartFormat chart="3" format="20">
      <pivotArea type="data" outline="0" fieldPosition="0">
        <references count="2">
          <reference field="4294967294" count="1" selected="0">
            <x v="0"/>
          </reference>
          <reference field="4" count="1" selected="0">
            <x v="0"/>
          </reference>
        </references>
      </pivotArea>
    </chartFormat>
    <chartFormat chart="3" format="2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C7E1D9-3509-4D73-A182-B6519C027BF3}"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_cust_Spend">
  <location ref="W6:X21" firstHeaderRow="1" firstDataRow="1" firstDataCol="1"/>
  <pivotFields count="18">
    <pivotField dataField="1"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axis="axisRow" showAll="0" measureFilter="1">
      <items count="100">
        <item x="91"/>
        <item x="22"/>
        <item x="46"/>
        <item x="60"/>
        <item x="20"/>
        <item x="26"/>
        <item x="52"/>
        <item x="73"/>
        <item x="74"/>
        <item x="1"/>
        <item x="11"/>
        <item x="39"/>
        <item x="82"/>
        <item x="3"/>
        <item x="10"/>
        <item x="97"/>
        <item x="98"/>
        <item x="56"/>
        <item x="32"/>
        <item x="58"/>
        <item x="45"/>
        <item x="28"/>
        <item x="5"/>
        <item x="43"/>
        <item x="75"/>
        <item x="85"/>
        <item x="9"/>
        <item x="86"/>
        <item x="76"/>
        <item x="77"/>
        <item x="6"/>
        <item x="36"/>
        <item x="71"/>
        <item x="4"/>
        <item x="84"/>
        <item x="13"/>
        <item x="12"/>
        <item x="14"/>
        <item x="81"/>
        <item x="35"/>
        <item x="41"/>
        <item x="47"/>
        <item x="54"/>
        <item x="64"/>
        <item x="25"/>
        <item x="51"/>
        <item x="80"/>
        <item x="15"/>
        <item x="87"/>
        <item x="40"/>
        <item x="49"/>
        <item x="19"/>
        <item x="68"/>
        <item x="89"/>
        <item x="21"/>
        <item x="33"/>
        <item x="48"/>
        <item x="78"/>
        <item x="16"/>
        <item x="59"/>
        <item x="44"/>
        <item x="53"/>
        <item x="94"/>
        <item x="83"/>
        <item x="7"/>
        <item x="79"/>
        <item x="30"/>
        <item x="2"/>
        <item x="92"/>
        <item x="17"/>
        <item x="90"/>
        <item x="31"/>
        <item x="42"/>
        <item x="24"/>
        <item x="62"/>
        <item x="63"/>
        <item x="70"/>
        <item x="27"/>
        <item x="8"/>
        <item x="65"/>
        <item x="18"/>
        <item x="72"/>
        <item x="23"/>
        <item x="0"/>
        <item x="37"/>
        <item x="55"/>
        <item x="61"/>
        <item x="88"/>
        <item x="66"/>
        <item x="50"/>
        <item x="34"/>
        <item x="95"/>
        <item x="69"/>
        <item x="93"/>
        <item x="57"/>
        <item x="67"/>
        <item x="96"/>
        <item x="29"/>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15">
    <i>
      <x v="1"/>
    </i>
    <i>
      <x v="9"/>
    </i>
    <i>
      <x v="10"/>
    </i>
    <i>
      <x v="17"/>
    </i>
    <i>
      <x v="19"/>
    </i>
    <i>
      <x v="20"/>
    </i>
    <i>
      <x v="30"/>
    </i>
    <i>
      <x v="37"/>
    </i>
    <i>
      <x v="43"/>
    </i>
    <i>
      <x v="45"/>
    </i>
    <i>
      <x v="60"/>
    </i>
    <i>
      <x v="80"/>
    </i>
    <i>
      <x v="86"/>
    </i>
    <i>
      <x v="87"/>
    </i>
    <i t="grand">
      <x/>
    </i>
  </rowItems>
  <colItems count="1">
    <i/>
  </colItems>
  <dataFields count="1">
    <dataField name="Count of Order_ID" fld="0" subtotal="count" baseField="0" baseItem="0"/>
  </dataFields>
  <formats count="6">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fieldPosition="0">
        <references count="1">
          <reference field="2" count="14">
            <x v="1"/>
            <x v="9"/>
            <x v="10"/>
            <x v="17"/>
            <x v="19"/>
            <x v="20"/>
            <x v="30"/>
            <x v="37"/>
            <x v="43"/>
            <x v="45"/>
            <x v="60"/>
            <x v="80"/>
            <x v="86"/>
            <x v="87"/>
          </reference>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filters count="1">
    <filter fld="2"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E4B480-AA25-4014-8CB7-4CFB67DB2FA4}"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_cust_Spend">
  <location ref="R6:U17" firstHeaderRow="0" firstDataRow="1" firstDataCol="1"/>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axis="axisRow" showAll="0" measureFilter="1">
      <items count="100">
        <item x="91"/>
        <item x="22"/>
        <item x="46"/>
        <item x="60"/>
        <item x="20"/>
        <item x="26"/>
        <item x="52"/>
        <item x="73"/>
        <item x="74"/>
        <item x="1"/>
        <item x="11"/>
        <item x="39"/>
        <item x="82"/>
        <item x="3"/>
        <item x="10"/>
        <item x="97"/>
        <item x="98"/>
        <item x="56"/>
        <item x="32"/>
        <item x="58"/>
        <item x="45"/>
        <item x="28"/>
        <item x="5"/>
        <item x="43"/>
        <item x="75"/>
        <item x="85"/>
        <item x="9"/>
        <item x="86"/>
        <item x="76"/>
        <item x="77"/>
        <item x="6"/>
        <item x="36"/>
        <item x="71"/>
        <item x="4"/>
        <item x="84"/>
        <item x="13"/>
        <item x="12"/>
        <item x="14"/>
        <item x="81"/>
        <item x="35"/>
        <item x="41"/>
        <item x="47"/>
        <item x="54"/>
        <item x="64"/>
        <item x="25"/>
        <item x="51"/>
        <item x="80"/>
        <item x="15"/>
        <item x="87"/>
        <item x="40"/>
        <item x="49"/>
        <item x="19"/>
        <item x="68"/>
        <item x="89"/>
        <item x="21"/>
        <item x="33"/>
        <item x="48"/>
        <item x="78"/>
        <item x="16"/>
        <item x="59"/>
        <item x="44"/>
        <item x="53"/>
        <item x="94"/>
        <item x="83"/>
        <item x="7"/>
        <item x="79"/>
        <item x="30"/>
        <item x="2"/>
        <item x="92"/>
        <item x="17"/>
        <item x="90"/>
        <item x="31"/>
        <item x="42"/>
        <item x="24"/>
        <item x="62"/>
        <item x="63"/>
        <item x="70"/>
        <item x="27"/>
        <item x="8"/>
        <item x="65"/>
        <item x="18"/>
        <item x="72"/>
        <item x="23"/>
        <item x="0"/>
        <item x="37"/>
        <item x="55"/>
        <item x="61"/>
        <item x="88"/>
        <item x="66"/>
        <item x="50"/>
        <item x="34"/>
        <item x="95"/>
        <item x="69"/>
        <item x="93"/>
        <item x="57"/>
        <item x="67"/>
        <item x="96"/>
        <item x="29"/>
        <item x="38"/>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11">
    <i>
      <x v="19"/>
    </i>
    <i>
      <x v="21"/>
    </i>
    <i>
      <x v="28"/>
    </i>
    <i>
      <x v="30"/>
    </i>
    <i>
      <x v="42"/>
    </i>
    <i>
      <x v="49"/>
    </i>
    <i>
      <x v="50"/>
    </i>
    <i>
      <x v="55"/>
    </i>
    <i>
      <x v="57"/>
    </i>
    <i>
      <x v="61"/>
    </i>
    <i t="grand">
      <x/>
    </i>
  </rowItems>
  <colFields count="1">
    <field x="-2"/>
  </colFields>
  <colItems count="3">
    <i>
      <x/>
    </i>
    <i i="1">
      <x v="1"/>
    </i>
    <i i="2">
      <x v="2"/>
    </i>
  </colItems>
  <dataFields count="3">
    <dataField name="Sum of Net_Sales" fld="13" baseField="0" baseItem="0"/>
    <dataField name="Sum of Revenue" fld="14" baseField="0" baseItem="0"/>
    <dataField name="Sum of Difference" fld="17" baseField="0" baseItem="0" numFmtId="10"/>
  </dataFields>
  <formats count="8">
    <format dxfId="55">
      <pivotArea dataOnly="0" labelOnly="1" outline="0" fieldPosition="0">
        <references count="1">
          <reference field="4294967294" count="1">
            <x v="2"/>
          </reference>
        </references>
      </pivotArea>
    </format>
    <format dxfId="54">
      <pivotArea outline="0" fieldPosition="0">
        <references count="1">
          <reference field="4294967294" count="1">
            <x v="2"/>
          </reference>
        </references>
      </pivotArea>
    </format>
    <format dxfId="53">
      <pivotArea type="all" dataOnly="0" outline="0" fieldPosition="0"/>
    </format>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10">
            <x v="19"/>
            <x v="21"/>
            <x v="28"/>
            <x v="30"/>
            <x v="42"/>
            <x v="49"/>
            <x v="50"/>
            <x v="55"/>
            <x v="57"/>
            <x v="61"/>
          </reference>
        </references>
      </pivotArea>
    </format>
    <format dxfId="49">
      <pivotArea dataOnly="0" labelOnly="1" grandRow="1" outline="0" fieldPosition="0"/>
    </format>
    <format dxfId="48">
      <pivotArea dataOnly="0" labelOnly="1" outline="0" fieldPosition="0">
        <references count="1">
          <reference field="4294967294" count="3">
            <x v="0"/>
            <x v="1"/>
            <x v="2"/>
          </reference>
        </references>
      </pivotArea>
    </format>
  </formats>
  <chartFormats count="3">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F40026-E20C-4FAE-AA29-0244A247DBF0}"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8">
    <pivotField dataField="1"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Total_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2B7A8B-BDE6-463E-B97B-C8DD36D7F1F9}" name="Reg_Table" cacheId="2" applyNumberFormats="0" applyBorderFormats="0" applyFontFormats="0" applyPatternFormats="0" applyAlignmentFormats="0" applyWidthHeightFormats="1" dataCaption="Values" tag="1975d052-a06f-42bf-81f4-b5f593865ceb" updatedVersion="8" minRefreshableVersion="3" useAutoFormatting="1" rowGrandTotals="0" colGrandTotals="0" itemPrintTitles="1" createdVersion="8" indent="0" outline="1" outlineData="1" multipleFieldFilters="0" chartFormat="3" rowHeaderCaption="Region">
  <location ref="A24:D2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x v="3"/>
    </i>
  </rowItems>
  <colFields count="1">
    <field x="-2"/>
  </colFields>
  <colItems count="3">
    <i>
      <x/>
    </i>
    <i i="1">
      <x v="1"/>
    </i>
    <i i="2">
      <x v="2"/>
    </i>
  </colItems>
  <dataFields count="3">
    <dataField name="Count of Customer_ID" fld="1" subtotal="count" baseField="0" baseItem="0"/>
    <dataField name="Sum of Quantity" fld="3" baseField="0" baseItem="0"/>
    <dataField name="Sum of Revenue" fld="2" baseField="0" baseItem="0" numFmtId="165"/>
  </dataFields>
  <formats count="6">
    <format dxfId="61">
      <pivotArea outline="0" collapsedLevelsAreSubtotals="1" fieldPosition="0">
        <references count="1">
          <reference field="4294967294" count="1" selected="0">
            <x v="2"/>
          </reference>
        </references>
      </pivotArea>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outline="0" fieldPosition="0">
        <references count="1">
          <reference field="4294967294" count="3">
            <x v="0"/>
            <x v="1"/>
            <x v="2"/>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ecommerc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67B501-697B-4E67-BA6C-E9A7846BC2C0}"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Sum of Revenue" fld="14" baseField="0" baseItem="0" numFmtId="167"/>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DD21E0-4133-41EB-8948-6C99405B78B9}" name="Net_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Net_sale" fld="13" baseField="0" baseItem="0" numFmtId="167"/>
  </dataFields>
  <formats count="2">
    <format dxfId="64">
      <pivotArea dataOnly="0" labelOnly="1" outline="0" axis="axisValues" fieldPosition="0"/>
    </format>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D11A5E-C813-4DDF-9183-990C163041F4}" name="PivotTable2" cacheId="1" applyNumberFormats="0" applyBorderFormats="0" applyFontFormats="0" applyPatternFormats="0" applyAlignmentFormats="0" applyWidthHeightFormats="1" dataCaption="Values" tag="1975d052-a06f-42bf-81f4-b5f593865ceb" updatedVersion="8" minRefreshableVersion="3" useAutoFormatting="1" rowGrandTotals="0" colGrandTotals="0" itemPrintTitles="1" createdVersion="8" indent="0" outline="1" outlineData="1" multipleFieldFilters="0" chartFormat="20" rowHeaderCaption="Region">
  <location ref="A30:C34"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name="Sum of Net_Sales" fld="2" baseField="0" baseItem="0"/>
    <dataField name="Sum of Revenue" fld="1" baseField="0" baseItem="0" numFmtId="165"/>
  </dataFields>
  <formats count="6">
    <format dxfId="70">
      <pivotArea outline="0" collapsedLevelsAreSubtotals="1" fieldPosition="0">
        <references count="1">
          <reference field="4294967294" count="1" selected="0">
            <x v="1"/>
          </reference>
        </references>
      </pivotArea>
    </format>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outline="0" fieldPosition="0">
        <references count="1">
          <reference field="4294967294" count="2">
            <x v="0"/>
            <x v="1"/>
          </reference>
        </references>
      </pivotArea>
    </format>
  </formats>
  <chartFormats count="2">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ecommerc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C51333-D065-4272-B847-F5582937925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6:J31" firstHeaderRow="1" firstDataRow="1" firstDataCol="1"/>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axis="axisRow" showAll="0">
      <items count="5">
        <item x="0"/>
        <item x="1"/>
        <item x="3"/>
        <item x="2"/>
        <item t="default"/>
      </items>
    </pivotField>
    <pivotField axis="axisRow" showAll="0">
      <items count="21">
        <item x="14"/>
        <item x="9"/>
        <item x="6"/>
        <item x="17"/>
        <item x="10"/>
        <item x="1"/>
        <item x="18"/>
        <item x="2"/>
        <item x="5"/>
        <item x="3"/>
        <item x="13"/>
        <item x="0"/>
        <item x="11"/>
        <item x="4"/>
        <item x="16"/>
        <item x="19"/>
        <item x="15"/>
        <item x="7"/>
        <item x="12"/>
        <item x="8"/>
        <item t="default"/>
      </items>
    </pivotField>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2">
    <field x="3"/>
    <field x="4"/>
  </rowFields>
  <rowItems count="25">
    <i>
      <x/>
    </i>
    <i r="1">
      <x/>
    </i>
    <i r="1">
      <x v="1"/>
    </i>
    <i r="1">
      <x v="6"/>
    </i>
    <i r="1">
      <x v="11"/>
    </i>
    <i r="1">
      <x v="15"/>
    </i>
    <i>
      <x v="1"/>
    </i>
    <i r="1">
      <x v="4"/>
    </i>
    <i r="1">
      <x v="5"/>
    </i>
    <i r="1">
      <x v="16"/>
    </i>
    <i r="1">
      <x v="18"/>
    </i>
    <i r="1">
      <x v="19"/>
    </i>
    <i>
      <x v="2"/>
    </i>
    <i r="1">
      <x v="2"/>
    </i>
    <i r="1">
      <x v="9"/>
    </i>
    <i r="1">
      <x v="13"/>
    </i>
    <i r="1">
      <x v="14"/>
    </i>
    <i r="1">
      <x v="17"/>
    </i>
    <i>
      <x v="3"/>
    </i>
    <i r="1">
      <x v="3"/>
    </i>
    <i r="1">
      <x v="7"/>
    </i>
    <i r="1">
      <x v="8"/>
    </i>
    <i r="1">
      <x v="10"/>
    </i>
    <i r="1">
      <x v="12"/>
    </i>
    <i t="grand">
      <x/>
    </i>
  </rowItems>
  <colItems count="1">
    <i/>
  </colItems>
  <dataFields count="1">
    <dataField name="Sum of Quantity" fld="5" baseField="0" baseItem="0"/>
  </dataFields>
  <formats count="10">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grandRow="1" outline="0" fieldPosition="0"/>
    </format>
    <format dxfId="75">
      <pivotArea dataOnly="0" labelOnly="1" fieldPosition="0">
        <references count="2">
          <reference field="3" count="1" selected="0">
            <x v="0"/>
          </reference>
          <reference field="4" count="5">
            <x v="0"/>
            <x v="1"/>
            <x v="6"/>
            <x v="11"/>
            <x v="15"/>
          </reference>
        </references>
      </pivotArea>
    </format>
    <format dxfId="74">
      <pivotArea dataOnly="0" labelOnly="1" fieldPosition="0">
        <references count="2">
          <reference field="3" count="1" selected="0">
            <x v="1"/>
          </reference>
          <reference field="4" count="5">
            <x v="4"/>
            <x v="5"/>
            <x v="16"/>
            <x v="18"/>
            <x v="19"/>
          </reference>
        </references>
      </pivotArea>
    </format>
    <format dxfId="73">
      <pivotArea dataOnly="0" labelOnly="1" fieldPosition="0">
        <references count="2">
          <reference field="3" count="1" selected="0">
            <x v="2"/>
          </reference>
          <reference field="4" count="5">
            <x v="2"/>
            <x v="9"/>
            <x v="13"/>
            <x v="14"/>
            <x v="17"/>
          </reference>
        </references>
      </pivotArea>
    </format>
    <format dxfId="72">
      <pivotArea dataOnly="0" labelOnly="1" fieldPosition="0">
        <references count="2">
          <reference field="3" count="1" selected="0">
            <x v="3"/>
          </reference>
          <reference field="4" count="5">
            <x v="3"/>
            <x v="7"/>
            <x v="8"/>
            <x v="10"/>
            <x v="12"/>
          </reference>
        </references>
      </pivotArea>
    </format>
    <format dxfId="71">
      <pivotArea dataOnly="0" labelOnly="1" outline="0" axis="axisValues" fieldPosition="0"/>
    </format>
  </formats>
  <chartFormats count="1">
    <chartFormat chart="9"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2BA2B4C-0DF4-4F98-B2EE-00207743352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Order_Status">
  <location ref="A44:B47" firstHeaderRow="1" firstDataRow="1" firstDataCol="1"/>
  <pivotFields count="18">
    <pivotField showAll="0">
      <items count="501">
        <item x="446"/>
        <item x="75"/>
        <item x="152"/>
        <item x="154"/>
        <item x="192"/>
        <item x="68"/>
        <item x="259"/>
        <item x="494"/>
        <item x="263"/>
        <item x="146"/>
        <item x="169"/>
        <item x="159"/>
        <item x="215"/>
        <item x="172"/>
        <item x="246"/>
        <item x="441"/>
        <item x="370"/>
        <item x="448"/>
        <item x="181"/>
        <item x="134"/>
        <item x="348"/>
        <item x="403"/>
        <item x="336"/>
        <item x="481"/>
        <item x="89"/>
        <item x="1"/>
        <item x="161"/>
        <item x="276"/>
        <item x="328"/>
        <item x="227"/>
        <item x="126"/>
        <item x="25"/>
        <item x="346"/>
        <item x="267"/>
        <item x="199"/>
        <item x="26"/>
        <item x="54"/>
        <item x="173"/>
        <item x="368"/>
        <item x="93"/>
        <item x="397"/>
        <item x="44"/>
        <item x="371"/>
        <item x="80"/>
        <item x="478"/>
        <item x="290"/>
        <item x="306"/>
        <item x="16"/>
        <item x="250"/>
        <item x="277"/>
        <item x="8"/>
        <item x="490"/>
        <item x="236"/>
        <item x="45"/>
        <item x="11"/>
        <item x="298"/>
        <item x="131"/>
        <item x="46"/>
        <item x="458"/>
        <item x="459"/>
        <item x="205"/>
        <item x="307"/>
        <item x="456"/>
        <item x="107"/>
        <item x="443"/>
        <item x="108"/>
        <item x="487"/>
        <item x="322"/>
        <item x="359"/>
        <item x="174"/>
        <item x="301"/>
        <item x="100"/>
        <item x="278"/>
        <item x="412"/>
        <item x="239"/>
        <item x="183"/>
        <item x="91"/>
        <item x="294"/>
        <item x="318"/>
        <item x="55"/>
        <item x="47"/>
        <item x="116"/>
        <item x="175"/>
        <item x="81"/>
        <item x="135"/>
        <item x="424"/>
        <item x="360"/>
        <item x="247"/>
        <item x="184"/>
        <item x="219"/>
        <item x="433"/>
        <item x="147"/>
        <item x="366"/>
        <item x="482"/>
        <item x="273"/>
        <item x="372"/>
        <item x="319"/>
        <item x="379"/>
        <item x="420"/>
        <item x="206"/>
        <item x="488"/>
        <item x="302"/>
        <item x="272"/>
        <item x="207"/>
        <item x="315"/>
        <item x="34"/>
        <item x="56"/>
        <item x="316"/>
        <item x="193"/>
        <item x="136"/>
        <item x="35"/>
        <item x="329"/>
        <item x="425"/>
        <item x="160"/>
        <item x="120"/>
        <item x="444"/>
        <item x="76"/>
        <item x="17"/>
        <item x="0"/>
        <item x="439"/>
        <item x="94"/>
        <item x="429"/>
        <item x="86"/>
        <item x="495"/>
        <item x="109"/>
        <item x="284"/>
        <item x="411"/>
        <item x="388"/>
        <item x="266"/>
        <item x="451"/>
        <item x="71"/>
        <item x="332"/>
        <item x="376"/>
        <item x="162"/>
        <item x="496"/>
        <item x="30"/>
        <item x="398"/>
        <item x="167"/>
        <item x="460"/>
        <item x="231"/>
        <item x="137"/>
        <item x="491"/>
        <item x="479"/>
        <item x="240"/>
        <item x="303"/>
        <item x="285"/>
        <item x="185"/>
        <item x="330"/>
        <item x="65"/>
        <item x="469"/>
        <item x="9"/>
        <item x="323"/>
        <item x="208"/>
        <item x="253"/>
        <item x="437"/>
        <item x="163"/>
        <item x="189"/>
        <item x="447"/>
        <item x="143"/>
        <item x="421"/>
        <item x="121"/>
        <item x="5"/>
        <item x="311"/>
        <item x="438"/>
        <item x="295"/>
        <item x="430"/>
        <item x="373"/>
        <item x="452"/>
        <item x="281"/>
        <item x="461"/>
        <item x="66"/>
        <item x="415"/>
        <item x="291"/>
        <item x="409"/>
        <item x="394"/>
        <item x="440"/>
        <item x="492"/>
        <item x="399"/>
        <item x="260"/>
        <item x="422"/>
        <item x="308"/>
        <item x="363"/>
        <item x="212"/>
        <item x="209"/>
        <item x="353"/>
        <item x="465"/>
        <item x="51"/>
        <item x="274"/>
        <item x="299"/>
        <item x="228"/>
        <item x="133"/>
        <item x="176"/>
        <item x="400"/>
        <item x="304"/>
        <item x="241"/>
        <item x="195"/>
        <item x="389"/>
        <item x="337"/>
        <item x="61"/>
        <item x="434"/>
        <item x="472"/>
        <item x="395"/>
        <item x="413"/>
        <item x="62"/>
        <item x="449"/>
        <item x="148"/>
        <item x="72"/>
        <item x="95"/>
        <item x="282"/>
        <item x="377"/>
        <item x="407"/>
        <item x="426"/>
        <item x="367"/>
        <item x="110"/>
        <item x="286"/>
        <item x="156"/>
        <item x="196"/>
        <item x="57"/>
        <item x="164"/>
        <item x="354"/>
        <item x="296"/>
        <item x="466"/>
        <item x="19"/>
        <item x="232"/>
        <item x="384"/>
        <item x="42"/>
        <item x="216"/>
        <item x="450"/>
        <item x="254"/>
        <item x="485"/>
        <item x="292"/>
        <item x="58"/>
        <item x="309"/>
        <item x="31"/>
        <item x="473"/>
        <item x="404"/>
        <item x="52"/>
        <item x="87"/>
        <item x="497"/>
        <item x="99"/>
        <item x="233"/>
        <item x="493"/>
        <item x="101"/>
        <item x="96"/>
        <item x="279"/>
        <item x="474"/>
        <item x="358"/>
        <item x="157"/>
        <item x="390"/>
        <item x="119"/>
        <item x="12"/>
        <item x="287"/>
        <item x="170"/>
        <item x="288"/>
        <item x="218"/>
        <item x="82"/>
        <item x="69"/>
        <item x="221"/>
        <item x="355"/>
        <item x="414"/>
        <item x="3"/>
        <item x="20"/>
        <item x="50"/>
        <item x="435"/>
        <item x="251"/>
        <item x="21"/>
        <item x="364"/>
        <item x="201"/>
        <item x="338"/>
        <item x="483"/>
        <item x="342"/>
        <item x="171"/>
        <item x="217"/>
        <item x="333"/>
        <item x="457"/>
        <item x="385"/>
        <item x="202"/>
        <item x="237"/>
        <item x="111"/>
        <item x="177"/>
        <item x="186"/>
        <item x="467"/>
        <item x="334"/>
        <item x="339"/>
        <item x="36"/>
        <item x="124"/>
        <item x="203"/>
        <item x="386"/>
        <item x="85"/>
        <item x="229"/>
        <item x="275"/>
        <item x="343"/>
        <item x="225"/>
        <item x="165"/>
        <item x="213"/>
        <item x="155"/>
        <item x="387"/>
        <item x="369"/>
        <item x="361"/>
        <item x="88"/>
        <item x="32"/>
        <item x="470"/>
        <item x="22"/>
        <item x="13"/>
        <item x="312"/>
        <item x="125"/>
        <item x="324"/>
        <item x="234"/>
        <item x="6"/>
        <item x="471"/>
        <item x="382"/>
        <item x="410"/>
        <item x="190"/>
        <item x="27"/>
        <item x="204"/>
        <item x="105"/>
        <item x="178"/>
        <item x="132"/>
        <item x="416"/>
        <item x="149"/>
        <item x="144"/>
        <item x="453"/>
        <item x="335"/>
        <item x="401"/>
        <item x="138"/>
        <item x="480"/>
        <item x="242"/>
        <item x="37"/>
        <item x="102"/>
        <item x="320"/>
        <item x="2"/>
        <item x="7"/>
        <item x="114"/>
        <item x="59"/>
        <item x="60"/>
        <item x="33"/>
        <item x="226"/>
        <item x="405"/>
        <item x="455"/>
        <item x="106"/>
        <item x="406"/>
        <item x="235"/>
        <item x="423"/>
        <item x="244"/>
        <item x="200"/>
        <item x="268"/>
        <item x="187"/>
        <item x="365"/>
        <item x="222"/>
        <item x="408"/>
        <item x="182"/>
        <item x="344"/>
        <item x="139"/>
        <item x="264"/>
        <item x="427"/>
        <item x="486"/>
        <item x="269"/>
        <item x="325"/>
        <item x="356"/>
        <item x="313"/>
        <item x="248"/>
        <item x="462"/>
        <item x="83"/>
        <item x="270"/>
        <item x="77"/>
        <item x="214"/>
        <item x="70"/>
        <item x="230"/>
        <item x="391"/>
        <item x="129"/>
        <item x="297"/>
        <item x="78"/>
        <item x="468"/>
        <item x="417"/>
        <item x="419"/>
        <item x="257"/>
        <item x="293"/>
        <item x="103"/>
        <item x="347"/>
        <item x="349"/>
        <item x="14"/>
        <item x="351"/>
        <item x="383"/>
        <item x="454"/>
        <item x="64"/>
        <item x="238"/>
        <item x="38"/>
        <item x="198"/>
        <item x="39"/>
        <item x="220"/>
        <item x="317"/>
        <item x="223"/>
        <item x="378"/>
        <item x="194"/>
        <item x="28"/>
        <item x="305"/>
        <item x="210"/>
        <item x="463"/>
        <item x="67"/>
        <item x="158"/>
        <item x="97"/>
        <item x="255"/>
        <item x="402"/>
        <item x="115"/>
        <item x="90"/>
        <item x="191"/>
        <item x="211"/>
        <item x="29"/>
        <item x="374"/>
        <item x="252"/>
        <item x="4"/>
        <item x="442"/>
        <item x="380"/>
        <item x="145"/>
        <item x="300"/>
        <item x="436"/>
        <item x="104"/>
        <item x="92"/>
        <item x="188"/>
        <item x="362"/>
        <item x="179"/>
        <item x="23"/>
        <item x="18"/>
        <item x="53"/>
        <item x="24"/>
        <item x="392"/>
        <item x="326"/>
        <item x="280"/>
        <item x="261"/>
        <item x="40"/>
        <item x="63"/>
        <item x="41"/>
        <item x="224"/>
        <item x="84"/>
        <item x="381"/>
        <item x="117"/>
        <item x="112"/>
        <item x="122"/>
        <item x="79"/>
        <item x="258"/>
        <item x="140"/>
        <item x="327"/>
        <item x="265"/>
        <item x="314"/>
        <item x="283"/>
        <item x="141"/>
        <item x="245"/>
        <item x="127"/>
        <item x="375"/>
        <item x="168"/>
        <item x="243"/>
        <item x="498"/>
        <item x="352"/>
        <item x="428"/>
        <item x="98"/>
        <item x="418"/>
        <item x="499"/>
        <item x="118"/>
        <item x="396"/>
        <item x="484"/>
        <item x="128"/>
        <item x="357"/>
        <item x="445"/>
        <item x="48"/>
        <item x="289"/>
        <item x="73"/>
        <item x="15"/>
        <item x="262"/>
        <item x="345"/>
        <item x="74"/>
        <item x="166"/>
        <item x="249"/>
        <item x="10"/>
        <item x="271"/>
        <item x="130"/>
        <item x="331"/>
        <item x="464"/>
        <item x="393"/>
        <item x="340"/>
        <item x="123"/>
        <item x="475"/>
        <item x="49"/>
        <item x="321"/>
        <item x="113"/>
        <item x="197"/>
        <item x="431"/>
        <item x="476"/>
        <item x="341"/>
        <item x="489"/>
        <item x="310"/>
        <item x="150"/>
        <item x="43"/>
        <item x="142"/>
        <item x="256"/>
        <item x="350"/>
        <item x="180"/>
        <item x="151"/>
        <item x="477"/>
        <item x="432"/>
        <item x="153"/>
        <item t="default"/>
      </items>
    </pivotField>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0"/>
  </rowFields>
  <rowItems count="3">
    <i>
      <x/>
    </i>
    <i>
      <x v="1"/>
    </i>
    <i>
      <x v="2"/>
    </i>
  </rowItems>
  <colItems count="1">
    <i/>
  </colItems>
  <dataFields count="1">
    <dataField name="Count of Order_Status" fld="10" subtotal="count" baseField="0" baseItem="0"/>
  </dataFields>
  <formats count="5">
    <format dxfId="85">
      <pivotArea type="all" dataOnly="0" outline="0" fieldPosition="0"/>
    </format>
    <format dxfId="84">
      <pivotArea outline="0" collapsedLevelsAreSubtotals="1" fieldPosition="0"/>
    </format>
    <format dxfId="83">
      <pivotArea field="10" type="button" dataOnly="0" labelOnly="1" outline="0" axis="axisRow" fieldPosition="0"/>
    </format>
    <format dxfId="82">
      <pivotArea dataOnly="0" labelOnly="1" fieldPosition="0">
        <references count="1">
          <reference field="10" count="0"/>
        </references>
      </pivotArea>
    </format>
    <format dxfId="8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CAE7DB8-94CF-4008-9FBE-EAF857D531AD}" name="Net_Discount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2:D3" firstHeaderRow="1" firstDataRow="1" firstDataCol="0"/>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Net_Discounts"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AFA9D72-5D15-4E30-8A0A-4D23C4016BF4}" name="Gross_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8">
    <pivotField showAll="0"/>
    <pivotField numFmtId="14" showAll="0">
      <items count="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Gross_Sal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79D036-5BC3-425E-BA94-6940694993A0}" autoFormatId="16" applyNumberFormats="0" applyBorderFormats="0" applyFontFormats="0" applyPatternFormats="0" applyAlignmentFormats="0" applyWidthHeightFormats="0">
  <queryTableRefresh nextId="19">
    <queryTableFields count="15">
      <queryTableField id="1" name="Order_ID" tableColumnId="1"/>
      <queryTableField id="2" name="Order_Date" tableColumnId="2"/>
      <queryTableField id="3" name="Customer_ID" tableColumnId="3"/>
      <queryTableField id="4" name="Category" tableColumnId="4"/>
      <queryTableField id="5" name="Product" tableColumnId="5"/>
      <queryTableField id="6" name="Quantity" tableColumnId="6"/>
      <queryTableField id="7" name="Unit_Price" tableColumnId="7"/>
      <queryTableField id="8" name="Discount" tableColumnId="8"/>
      <queryTableField id="9" name="Region" tableColumnId="9"/>
      <queryTableField id="10" name="Payment_Method" tableColumnId="10"/>
      <queryTableField id="11" name="Order_Status" tableColumnId="11"/>
      <queryTableField id="13" name="Net_Discount" tableColumnId="12"/>
      <queryTableField id="16" name="Gross_sales" tableColumnId="15"/>
      <queryTableField id="15" name="Net_Sales" tableColumnId="14"/>
      <queryTableField id="18" name="Revenu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F51A1F5-CFA0-4391-B3B3-3ADB2F12ADA1}" sourceName="Months (Order_Date)">
  <pivotTables>
    <pivotTable tabId="1" name="Gross_Sale"/>
    <pivotTable tabId="1" name="Net_sale"/>
    <pivotTable tabId="1" name="PivotTable17"/>
    <pivotTable tabId="1" name="PivotTable18"/>
    <pivotTable tabId="1" name="PivotTable19"/>
    <pivotTable tabId="1" name="PivotTable20"/>
    <pivotTable tabId="1" name="PivotTable23"/>
    <pivotTable tabId="1" name="PivotTable25"/>
    <pivotTable tabId="1" name="PivotTable8"/>
    <pivotTable tabId="1" name="Quantity_Sold"/>
    <pivotTable tabId="1" name="Revenue"/>
    <pivotTable tabId="1" name="Total_Orders"/>
    <pivotTable tabId="1" name="monthWise"/>
  </pivotTables>
  <data>
    <tabular pivotCacheId="1146199261">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083B334B-8211-4364-AEDF-CA85E590EC76}" cache="Slicer_Months__Order_Date" caption="Months (Order_Date)" style="SlicerStyleDark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41B043-C631-403E-AA29-FB9CBBCDAF78}" name="Table3" displayName="Table3" ref="A1:B100" totalsRowShown="0">
  <autoFilter ref="A1:B100" xr:uid="{9B41B043-C631-403E-AA29-FB9CBBCDAF78}"/>
  <tableColumns count="2">
    <tableColumn id="1" xr3:uid="{FE72C783-7016-4B87-A5BA-E861D64E145C}" name="Customer_ID"/>
    <tableColumn id="2" xr3:uid="{D2716EFE-844D-4795-A32A-A4238B2274C5}" name="Reg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2FA45B-8961-483E-B178-DF7DFED37776}" name="ecommerce_orders" displayName="ecommerce_orders" ref="A1:O502" tableType="queryTable" totalsRowCount="1">
  <autoFilter ref="A1:O501" xr:uid="{2F2FA45B-8961-483E-B178-DF7DFED37776}"/>
  <tableColumns count="15">
    <tableColumn id="1" xr3:uid="{AD696822-4FB9-4C7D-97B6-4B3FDE3DAC60}" uniqueName="1" name="Order_ID" totalsRowFunction="count" queryTableFieldId="1" dataDxfId="93"/>
    <tableColumn id="2" xr3:uid="{6436AEE1-E894-4019-BEEB-B38E0DE98704}" uniqueName="2" name="Order_Date" queryTableFieldId="2" dataDxfId="92"/>
    <tableColumn id="3" xr3:uid="{37352146-7CF3-4DFF-B0F8-F1F385AF1689}" uniqueName="3" name="Customer_ID" queryTableFieldId="3" dataDxfId="91"/>
    <tableColumn id="4" xr3:uid="{CD167D63-2D4C-4DEF-AC15-E1247EE19707}" uniqueName="4" name="Category" queryTableFieldId="4" dataDxfId="90"/>
    <tableColumn id="5" xr3:uid="{72236F14-0B3B-4F4E-A582-4E5B5FCC52EE}" uniqueName="5" name="Product" queryTableFieldId="5" dataDxfId="89"/>
    <tableColumn id="6" xr3:uid="{50A67F89-2E56-4566-B09E-9AC649E89D87}" uniqueName="6" name="Quantity" totalsRowFunction="sum" queryTableFieldId="6"/>
    <tableColumn id="7" xr3:uid="{D1F7716A-F505-43DA-88C1-9C80EBD00DA1}" uniqueName="7" name="Unit_Price" queryTableFieldId="7"/>
    <tableColumn id="8" xr3:uid="{383EB65D-A60A-400D-93A9-D239FCE0668A}" uniqueName="8" name="Discount" queryTableFieldId="8"/>
    <tableColumn id="9" xr3:uid="{973D005E-1080-413A-869D-64469CCB5949}" uniqueName="9" name="Region" queryTableFieldId="9" dataDxfId="88"/>
    <tableColumn id="10" xr3:uid="{320B9D28-7199-4F6A-B6E8-A24CC67C09F6}" uniqueName="10" name="Payment_Method" queryTableFieldId="10" dataDxfId="87"/>
    <tableColumn id="11" xr3:uid="{7D2D885B-560C-452E-AE6A-A3D2B6E52E9A}" uniqueName="11" name="Order_Status" queryTableFieldId="11" dataDxfId="86"/>
    <tableColumn id="12" xr3:uid="{FEB11B80-CFC7-48AB-B7CC-F14C4208195F}" uniqueName="12" name="Net_Discount" totalsRowFunction="sum" queryTableFieldId="13"/>
    <tableColumn id="15" xr3:uid="{9BD4F56F-3A90-4287-A3C7-2AFE67A7C402}" uniqueName="15" name="Gross_sales" totalsRowFunction="sum" queryTableFieldId="16"/>
    <tableColumn id="14" xr3:uid="{045FD22E-5C16-4251-BD87-4CA9F77906FF}" uniqueName="14" name="Net_Sales" totalsRowFunction="sum" queryTableFieldId="15"/>
    <tableColumn id="16" xr3:uid="{9066B1E7-4A91-4CED-A2C0-DBF2B4245F29}" uniqueName="16" name="Revenue" totalsRowFunction="sum"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BB88-FDD6-4581-BF5C-339437E24B5C}">
  <sheetPr>
    <tabColor theme="9" tint="-0.499984740745262"/>
  </sheetPr>
  <dimension ref="A1:B100"/>
  <sheetViews>
    <sheetView topLeftCell="A2" workbookViewId="0">
      <selection activeCell="A63" sqref="A63"/>
    </sheetView>
  </sheetViews>
  <sheetFormatPr defaultRowHeight="14.4" x14ac:dyDescent="0.3"/>
  <cols>
    <col min="1" max="1" width="14.109375" bestFit="1" customWidth="1"/>
    <col min="2" max="2" width="9" bestFit="1" customWidth="1"/>
    <col min="5" max="5" width="10.44140625" customWidth="1"/>
  </cols>
  <sheetData>
    <row r="1" spans="1:2" x14ac:dyDescent="0.3">
      <c r="A1" t="s">
        <v>2</v>
      </c>
      <c r="B1" t="s">
        <v>8</v>
      </c>
    </row>
    <row r="2" spans="1:2" x14ac:dyDescent="0.3">
      <c r="A2" t="s">
        <v>12</v>
      </c>
      <c r="B2" t="s">
        <v>15</v>
      </c>
    </row>
    <row r="3" spans="1:2" x14ac:dyDescent="0.3">
      <c r="A3" t="s">
        <v>19</v>
      </c>
      <c r="B3" t="s">
        <v>22</v>
      </c>
    </row>
    <row r="4" spans="1:2" x14ac:dyDescent="0.3">
      <c r="A4" t="s">
        <v>26</v>
      </c>
      <c r="B4" t="s">
        <v>22</v>
      </c>
    </row>
    <row r="5" spans="1:2" x14ac:dyDescent="0.3">
      <c r="A5" t="s">
        <v>28</v>
      </c>
      <c r="B5" t="s">
        <v>22</v>
      </c>
    </row>
    <row r="6" spans="1:2" x14ac:dyDescent="0.3">
      <c r="A6" t="s">
        <v>33</v>
      </c>
      <c r="B6" t="s">
        <v>36</v>
      </c>
    </row>
    <row r="7" spans="1:2" x14ac:dyDescent="0.3">
      <c r="A7" t="s">
        <v>38</v>
      </c>
      <c r="B7" t="s">
        <v>40</v>
      </c>
    </row>
    <row r="8" spans="1:2" x14ac:dyDescent="0.3">
      <c r="A8" t="s">
        <v>42</v>
      </c>
      <c r="B8" t="s">
        <v>40</v>
      </c>
    </row>
    <row r="9" spans="1:2" x14ac:dyDescent="0.3">
      <c r="A9" t="s">
        <v>44</v>
      </c>
      <c r="B9" t="s">
        <v>40</v>
      </c>
    </row>
    <row r="10" spans="1:2" x14ac:dyDescent="0.3">
      <c r="A10" t="s">
        <v>49</v>
      </c>
      <c r="B10" t="s">
        <v>15</v>
      </c>
    </row>
    <row r="11" spans="1:2" x14ac:dyDescent="0.3">
      <c r="A11" t="s">
        <v>52</v>
      </c>
      <c r="B11" t="s">
        <v>36</v>
      </c>
    </row>
    <row r="12" spans="1:2" x14ac:dyDescent="0.3">
      <c r="A12" t="s">
        <v>55</v>
      </c>
      <c r="B12" t="s">
        <v>40</v>
      </c>
    </row>
    <row r="13" spans="1:2" x14ac:dyDescent="0.3">
      <c r="A13" t="s">
        <v>57</v>
      </c>
      <c r="B13" t="s">
        <v>22</v>
      </c>
    </row>
    <row r="14" spans="1:2" x14ac:dyDescent="0.3">
      <c r="A14" t="s">
        <v>60</v>
      </c>
      <c r="B14" t="s">
        <v>36</v>
      </c>
    </row>
    <row r="15" spans="1:2" x14ac:dyDescent="0.3">
      <c r="A15" t="s">
        <v>62</v>
      </c>
      <c r="B15" t="s">
        <v>36</v>
      </c>
    </row>
    <row r="16" spans="1:2" x14ac:dyDescent="0.3">
      <c r="A16" t="s">
        <v>65</v>
      </c>
      <c r="B16" t="s">
        <v>40</v>
      </c>
    </row>
    <row r="17" spans="1:2" x14ac:dyDescent="0.3">
      <c r="A17" t="s">
        <v>68</v>
      </c>
      <c r="B17" t="s">
        <v>15</v>
      </c>
    </row>
    <row r="18" spans="1:2" x14ac:dyDescent="0.3">
      <c r="A18" t="s">
        <v>71</v>
      </c>
      <c r="B18" t="s">
        <v>40</v>
      </c>
    </row>
    <row r="19" spans="1:2" x14ac:dyDescent="0.3">
      <c r="A19" t="s">
        <v>74</v>
      </c>
      <c r="B19" t="s">
        <v>36</v>
      </c>
    </row>
    <row r="20" spans="1:2" x14ac:dyDescent="0.3">
      <c r="A20" t="s">
        <v>76</v>
      </c>
      <c r="B20" t="s">
        <v>40</v>
      </c>
    </row>
    <row r="21" spans="1:2" x14ac:dyDescent="0.3">
      <c r="A21" t="s">
        <v>79</v>
      </c>
      <c r="B21" t="s">
        <v>22</v>
      </c>
    </row>
    <row r="22" spans="1:2" x14ac:dyDescent="0.3">
      <c r="A22" t="s">
        <v>81</v>
      </c>
      <c r="B22" t="s">
        <v>36</v>
      </c>
    </row>
    <row r="23" spans="1:2" x14ac:dyDescent="0.3">
      <c r="A23" t="s">
        <v>84</v>
      </c>
      <c r="B23" t="s">
        <v>40</v>
      </c>
    </row>
    <row r="24" spans="1:2" x14ac:dyDescent="0.3">
      <c r="A24" t="s">
        <v>87</v>
      </c>
      <c r="B24" t="s">
        <v>36</v>
      </c>
    </row>
    <row r="25" spans="1:2" x14ac:dyDescent="0.3">
      <c r="A25" t="s">
        <v>90</v>
      </c>
      <c r="B25" t="s">
        <v>15</v>
      </c>
    </row>
    <row r="26" spans="1:2" x14ac:dyDescent="0.3">
      <c r="A26" t="s">
        <v>92</v>
      </c>
      <c r="B26" t="s">
        <v>15</v>
      </c>
    </row>
    <row r="27" spans="1:2" x14ac:dyDescent="0.3">
      <c r="A27" t="s">
        <v>95</v>
      </c>
      <c r="B27" t="s">
        <v>36</v>
      </c>
    </row>
    <row r="28" spans="1:2" x14ac:dyDescent="0.3">
      <c r="A28" t="s">
        <v>97</v>
      </c>
      <c r="B28" t="s">
        <v>40</v>
      </c>
    </row>
    <row r="29" spans="1:2" x14ac:dyDescent="0.3">
      <c r="A29" t="s">
        <v>105</v>
      </c>
      <c r="B29" t="s">
        <v>15</v>
      </c>
    </row>
    <row r="30" spans="1:2" x14ac:dyDescent="0.3">
      <c r="A30" t="s">
        <v>107</v>
      </c>
      <c r="B30" t="s">
        <v>22</v>
      </c>
    </row>
    <row r="31" spans="1:2" x14ac:dyDescent="0.3">
      <c r="A31" t="s">
        <v>110</v>
      </c>
      <c r="B31" t="s">
        <v>40</v>
      </c>
    </row>
    <row r="32" spans="1:2" x14ac:dyDescent="0.3">
      <c r="A32" t="s">
        <v>112</v>
      </c>
      <c r="B32" t="s">
        <v>40</v>
      </c>
    </row>
    <row r="33" spans="1:2" x14ac:dyDescent="0.3">
      <c r="A33" t="s">
        <v>114</v>
      </c>
      <c r="B33" t="s">
        <v>15</v>
      </c>
    </row>
    <row r="34" spans="1:2" x14ac:dyDescent="0.3">
      <c r="A34" t="s">
        <v>117</v>
      </c>
      <c r="B34" t="s">
        <v>36</v>
      </c>
    </row>
    <row r="35" spans="1:2" x14ac:dyDescent="0.3">
      <c r="A35" t="s">
        <v>119</v>
      </c>
      <c r="B35" t="s">
        <v>22</v>
      </c>
    </row>
    <row r="36" spans="1:2" x14ac:dyDescent="0.3">
      <c r="A36" t="s">
        <v>121</v>
      </c>
      <c r="B36" t="s">
        <v>40</v>
      </c>
    </row>
    <row r="37" spans="1:2" x14ac:dyDescent="0.3">
      <c r="A37" t="s">
        <v>124</v>
      </c>
      <c r="B37" t="s">
        <v>40</v>
      </c>
    </row>
    <row r="38" spans="1:2" x14ac:dyDescent="0.3">
      <c r="A38" t="s">
        <v>127</v>
      </c>
      <c r="B38" t="s">
        <v>22</v>
      </c>
    </row>
    <row r="39" spans="1:2" x14ac:dyDescent="0.3">
      <c r="A39" t="s">
        <v>130</v>
      </c>
      <c r="B39" t="s">
        <v>22</v>
      </c>
    </row>
    <row r="40" spans="1:2" x14ac:dyDescent="0.3">
      <c r="A40" t="s">
        <v>132</v>
      </c>
      <c r="B40" t="s">
        <v>15</v>
      </c>
    </row>
    <row r="41" spans="1:2" x14ac:dyDescent="0.3">
      <c r="A41" t="s">
        <v>135</v>
      </c>
      <c r="B41" t="s">
        <v>22</v>
      </c>
    </row>
    <row r="42" spans="1:2" x14ac:dyDescent="0.3">
      <c r="A42" t="s">
        <v>137</v>
      </c>
      <c r="B42" t="s">
        <v>22</v>
      </c>
    </row>
    <row r="43" spans="1:2" x14ac:dyDescent="0.3">
      <c r="A43" t="s">
        <v>139</v>
      </c>
      <c r="B43" t="s">
        <v>36</v>
      </c>
    </row>
    <row r="44" spans="1:2" x14ac:dyDescent="0.3">
      <c r="A44" t="s">
        <v>141</v>
      </c>
      <c r="B44" t="s">
        <v>22</v>
      </c>
    </row>
    <row r="45" spans="1:2" x14ac:dyDescent="0.3">
      <c r="A45" t="s">
        <v>144</v>
      </c>
      <c r="B45" t="s">
        <v>36</v>
      </c>
    </row>
    <row r="46" spans="1:2" x14ac:dyDescent="0.3">
      <c r="A46" t="s">
        <v>146</v>
      </c>
      <c r="B46" t="s">
        <v>22</v>
      </c>
    </row>
    <row r="47" spans="1:2" x14ac:dyDescent="0.3">
      <c r="A47" t="s">
        <v>148</v>
      </c>
      <c r="B47" t="s">
        <v>15</v>
      </c>
    </row>
    <row r="48" spans="1:2" x14ac:dyDescent="0.3">
      <c r="A48" t="s">
        <v>150</v>
      </c>
      <c r="B48" t="s">
        <v>36</v>
      </c>
    </row>
    <row r="49" spans="1:2" x14ac:dyDescent="0.3">
      <c r="A49" t="s">
        <v>152</v>
      </c>
      <c r="B49" t="s">
        <v>36</v>
      </c>
    </row>
    <row r="50" spans="1:2" x14ac:dyDescent="0.3">
      <c r="A50" t="s">
        <v>159</v>
      </c>
      <c r="B50" t="s">
        <v>15</v>
      </c>
    </row>
    <row r="51" spans="1:2" x14ac:dyDescent="0.3">
      <c r="A51" t="s">
        <v>161</v>
      </c>
      <c r="B51" t="s">
        <v>36</v>
      </c>
    </row>
    <row r="52" spans="1:2" x14ac:dyDescent="0.3">
      <c r="A52" t="s">
        <v>164</v>
      </c>
      <c r="B52" t="s">
        <v>40</v>
      </c>
    </row>
    <row r="53" spans="1:2" x14ac:dyDescent="0.3">
      <c r="A53" t="s">
        <v>166</v>
      </c>
      <c r="B53" t="s">
        <v>36</v>
      </c>
    </row>
    <row r="54" spans="1:2" x14ac:dyDescent="0.3">
      <c r="A54" t="s">
        <v>168</v>
      </c>
      <c r="B54" t="s">
        <v>36</v>
      </c>
    </row>
    <row r="55" spans="1:2" x14ac:dyDescent="0.3">
      <c r="A55" t="s">
        <v>173</v>
      </c>
      <c r="B55" t="s">
        <v>15</v>
      </c>
    </row>
    <row r="56" spans="1:2" x14ac:dyDescent="0.3">
      <c r="A56" t="s">
        <v>175</v>
      </c>
      <c r="B56" t="s">
        <v>22</v>
      </c>
    </row>
    <row r="57" spans="1:2" x14ac:dyDescent="0.3">
      <c r="A57" t="s">
        <v>177</v>
      </c>
      <c r="B57" t="s">
        <v>40</v>
      </c>
    </row>
    <row r="58" spans="1:2" x14ac:dyDescent="0.3">
      <c r="A58" t="s">
        <v>182</v>
      </c>
      <c r="B58" t="s">
        <v>15</v>
      </c>
    </row>
    <row r="59" spans="1:2" x14ac:dyDescent="0.3">
      <c r="A59" t="s">
        <v>184</v>
      </c>
      <c r="B59" t="s">
        <v>15</v>
      </c>
    </row>
    <row r="60" spans="1:2" x14ac:dyDescent="0.3">
      <c r="A60" t="s">
        <v>189</v>
      </c>
      <c r="B60" t="s">
        <v>22</v>
      </c>
    </row>
    <row r="61" spans="1:2" x14ac:dyDescent="0.3">
      <c r="A61" t="s">
        <v>192</v>
      </c>
      <c r="B61" t="s">
        <v>36</v>
      </c>
    </row>
    <row r="62" spans="1:2" x14ac:dyDescent="0.3">
      <c r="A62" t="s">
        <v>194</v>
      </c>
      <c r="B62" t="s">
        <v>40</v>
      </c>
    </row>
    <row r="63" spans="1:2" x14ac:dyDescent="0.3">
      <c r="A63" t="s">
        <v>196</v>
      </c>
      <c r="B63" t="s">
        <v>40</v>
      </c>
    </row>
    <row r="64" spans="1:2" x14ac:dyDescent="0.3">
      <c r="A64" t="s">
        <v>199</v>
      </c>
      <c r="B64" t="s">
        <v>22</v>
      </c>
    </row>
    <row r="65" spans="1:2" x14ac:dyDescent="0.3">
      <c r="A65" t="s">
        <v>205</v>
      </c>
      <c r="B65" t="s">
        <v>15</v>
      </c>
    </row>
    <row r="66" spans="1:2" x14ac:dyDescent="0.3">
      <c r="A66" t="s">
        <v>209</v>
      </c>
      <c r="B66" t="s">
        <v>40</v>
      </c>
    </row>
    <row r="67" spans="1:2" x14ac:dyDescent="0.3">
      <c r="A67" t="s">
        <v>214</v>
      </c>
      <c r="B67" t="s">
        <v>40</v>
      </c>
    </row>
    <row r="68" spans="1:2" x14ac:dyDescent="0.3">
      <c r="A68" t="s">
        <v>217</v>
      </c>
      <c r="B68" t="s">
        <v>22</v>
      </c>
    </row>
    <row r="69" spans="1:2" x14ac:dyDescent="0.3">
      <c r="A69" t="s">
        <v>220</v>
      </c>
      <c r="B69" t="s">
        <v>15</v>
      </c>
    </row>
    <row r="70" spans="1:2" x14ac:dyDescent="0.3">
      <c r="A70" t="s">
        <v>230</v>
      </c>
      <c r="B70" t="s">
        <v>40</v>
      </c>
    </row>
    <row r="71" spans="1:2" x14ac:dyDescent="0.3">
      <c r="A71" t="s">
        <v>235</v>
      </c>
      <c r="B71" t="s">
        <v>22</v>
      </c>
    </row>
    <row r="72" spans="1:2" x14ac:dyDescent="0.3">
      <c r="A72" t="s">
        <v>246</v>
      </c>
      <c r="B72" t="s">
        <v>15</v>
      </c>
    </row>
    <row r="73" spans="1:2" x14ac:dyDescent="0.3">
      <c r="A73" t="s">
        <v>250</v>
      </c>
      <c r="B73" t="s">
        <v>15</v>
      </c>
    </row>
    <row r="74" spans="1:2" x14ac:dyDescent="0.3">
      <c r="A74" t="s">
        <v>260</v>
      </c>
      <c r="B74" t="s">
        <v>22</v>
      </c>
    </row>
    <row r="75" spans="1:2" x14ac:dyDescent="0.3">
      <c r="A75" t="s">
        <v>263</v>
      </c>
      <c r="B75" t="s">
        <v>22</v>
      </c>
    </row>
    <row r="76" spans="1:2" x14ac:dyDescent="0.3">
      <c r="A76" t="s">
        <v>265</v>
      </c>
      <c r="B76" t="s">
        <v>15</v>
      </c>
    </row>
    <row r="77" spans="1:2" x14ac:dyDescent="0.3">
      <c r="A77" t="s">
        <v>272</v>
      </c>
      <c r="B77" t="s">
        <v>15</v>
      </c>
    </row>
    <row r="78" spans="1:2" x14ac:dyDescent="0.3">
      <c r="A78" t="s">
        <v>275</v>
      </c>
      <c r="B78" t="s">
        <v>36</v>
      </c>
    </row>
    <row r="79" spans="1:2" x14ac:dyDescent="0.3">
      <c r="A79" t="s">
        <v>277</v>
      </c>
      <c r="B79" t="s">
        <v>15</v>
      </c>
    </row>
    <row r="80" spans="1:2" x14ac:dyDescent="0.3">
      <c r="A80" t="s">
        <v>280</v>
      </c>
      <c r="B80" t="s">
        <v>15</v>
      </c>
    </row>
    <row r="81" spans="1:2" x14ac:dyDescent="0.3">
      <c r="A81" t="s">
        <v>285</v>
      </c>
      <c r="B81" t="s">
        <v>40</v>
      </c>
    </row>
    <row r="82" spans="1:2" x14ac:dyDescent="0.3">
      <c r="A82" t="s">
        <v>291</v>
      </c>
      <c r="B82" t="s">
        <v>22</v>
      </c>
    </row>
    <row r="83" spans="1:2" x14ac:dyDescent="0.3">
      <c r="A83" t="s">
        <v>293</v>
      </c>
      <c r="B83" t="s">
        <v>36</v>
      </c>
    </row>
    <row r="84" spans="1:2" x14ac:dyDescent="0.3">
      <c r="A84" t="s">
        <v>296</v>
      </c>
      <c r="B84" t="s">
        <v>36</v>
      </c>
    </row>
    <row r="85" spans="1:2" x14ac:dyDescent="0.3">
      <c r="A85" t="s">
        <v>298</v>
      </c>
      <c r="B85" t="s">
        <v>22</v>
      </c>
    </row>
    <row r="86" spans="1:2" x14ac:dyDescent="0.3">
      <c r="A86" t="s">
        <v>300</v>
      </c>
      <c r="B86" t="s">
        <v>15</v>
      </c>
    </row>
    <row r="87" spans="1:2" x14ac:dyDescent="0.3">
      <c r="A87" t="s">
        <v>309</v>
      </c>
      <c r="B87" t="s">
        <v>15</v>
      </c>
    </row>
    <row r="88" spans="1:2" x14ac:dyDescent="0.3">
      <c r="A88" t="s">
        <v>333</v>
      </c>
      <c r="B88" t="s">
        <v>40</v>
      </c>
    </row>
    <row r="89" spans="1:2" x14ac:dyDescent="0.3">
      <c r="A89" t="s">
        <v>339</v>
      </c>
      <c r="B89" t="s">
        <v>15</v>
      </c>
    </row>
    <row r="90" spans="1:2" x14ac:dyDescent="0.3">
      <c r="A90" t="s">
        <v>349</v>
      </c>
      <c r="B90" t="s">
        <v>22</v>
      </c>
    </row>
    <row r="91" spans="1:2" x14ac:dyDescent="0.3">
      <c r="A91" t="s">
        <v>354</v>
      </c>
      <c r="B91" t="s">
        <v>36</v>
      </c>
    </row>
    <row r="92" spans="1:2" x14ac:dyDescent="0.3">
      <c r="A92" t="s">
        <v>375</v>
      </c>
      <c r="B92" t="s">
        <v>36</v>
      </c>
    </row>
    <row r="93" spans="1:2" x14ac:dyDescent="0.3">
      <c r="A93" t="s">
        <v>388</v>
      </c>
      <c r="B93" t="s">
        <v>36</v>
      </c>
    </row>
    <row r="94" spans="1:2" x14ac:dyDescent="0.3">
      <c r="A94" t="s">
        <v>392</v>
      </c>
      <c r="B94" t="s">
        <v>40</v>
      </c>
    </row>
    <row r="95" spans="1:2" x14ac:dyDescent="0.3">
      <c r="A95" t="s">
        <v>402</v>
      </c>
      <c r="B95" t="s">
        <v>15</v>
      </c>
    </row>
    <row r="96" spans="1:2" x14ac:dyDescent="0.3">
      <c r="A96" t="s">
        <v>414</v>
      </c>
      <c r="B96" t="s">
        <v>15</v>
      </c>
    </row>
    <row r="97" spans="1:2" x14ac:dyDescent="0.3">
      <c r="A97" t="s">
        <v>434</v>
      </c>
      <c r="B97" t="s">
        <v>22</v>
      </c>
    </row>
    <row r="98" spans="1:2" x14ac:dyDescent="0.3">
      <c r="A98" t="s">
        <v>479</v>
      </c>
      <c r="B98" t="s">
        <v>22</v>
      </c>
    </row>
    <row r="99" spans="1:2" x14ac:dyDescent="0.3">
      <c r="A99" t="s">
        <v>512</v>
      </c>
      <c r="B99" t="s">
        <v>22</v>
      </c>
    </row>
    <row r="100" spans="1:2" x14ac:dyDescent="0.3">
      <c r="A100" t="s">
        <v>634</v>
      </c>
      <c r="B100" t="s">
        <v>22</v>
      </c>
    </row>
  </sheetData>
  <conditionalFormatting sqref="A1:A101 A503:A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29EC8-7186-47F3-812C-CDC0EE819BED}">
  <sheetPr>
    <tabColor theme="9" tint="0.39997558519241921"/>
  </sheetPr>
  <dimension ref="A1:O502"/>
  <sheetViews>
    <sheetView workbookViewId="0">
      <selection activeCell="A6" sqref="A6"/>
    </sheetView>
  </sheetViews>
  <sheetFormatPr defaultRowHeight="14.4" x14ac:dyDescent="0.3"/>
  <cols>
    <col min="1" max="1" width="10.77734375" bestFit="1" customWidth="1"/>
    <col min="2" max="2" width="12.88671875" bestFit="1" customWidth="1"/>
    <col min="3" max="3" width="14.109375" bestFit="1" customWidth="1"/>
    <col min="4" max="4" width="10.77734375" bestFit="1" customWidth="1"/>
    <col min="5" max="5" width="14" bestFit="1" customWidth="1"/>
    <col min="6" max="6" width="10.5546875" bestFit="1" customWidth="1"/>
    <col min="7" max="7" width="11.88671875" bestFit="1" customWidth="1"/>
    <col min="8" max="8" width="10.5546875" bestFit="1" customWidth="1"/>
    <col min="9" max="9" width="9" bestFit="1" customWidth="1"/>
    <col min="10" max="10" width="18.6640625" bestFit="1" customWidth="1"/>
    <col min="11" max="11" width="14.21875" bestFit="1" customWidth="1"/>
    <col min="12" max="12" width="14.5546875" bestFit="1" customWidth="1"/>
    <col min="13" max="13" width="12.77734375" bestFit="1" customWidth="1"/>
    <col min="14" max="14" width="11.44140625" customWidth="1"/>
    <col min="15" max="15" width="10.5546875" bestFit="1" customWidth="1"/>
    <col min="16" max="16" width="11.44140625" bestFit="1" customWidth="1"/>
    <col min="17" max="17" width="10.109375" bestFit="1" customWidth="1"/>
  </cols>
  <sheetData>
    <row r="1" spans="1:15" x14ac:dyDescent="0.3">
      <c r="A1" t="s">
        <v>0</v>
      </c>
      <c r="B1" t="s">
        <v>1</v>
      </c>
      <c r="C1" t="s">
        <v>2</v>
      </c>
      <c r="D1" t="s">
        <v>3</v>
      </c>
      <c r="E1" t="s">
        <v>4</v>
      </c>
      <c r="F1" t="s">
        <v>5</v>
      </c>
      <c r="G1" t="s">
        <v>6</v>
      </c>
      <c r="H1" t="s">
        <v>7</v>
      </c>
      <c r="I1" t="s">
        <v>8</v>
      </c>
      <c r="J1" t="s">
        <v>9</v>
      </c>
      <c r="K1" t="s">
        <v>10</v>
      </c>
      <c r="L1" t="s">
        <v>646</v>
      </c>
      <c r="M1" t="s">
        <v>655</v>
      </c>
      <c r="N1" t="s">
        <v>647</v>
      </c>
      <c r="O1" t="s">
        <v>667</v>
      </c>
    </row>
    <row r="2" spans="1:15" x14ac:dyDescent="0.3">
      <c r="A2" t="s">
        <v>11</v>
      </c>
      <c r="B2" s="1">
        <v>46023</v>
      </c>
      <c r="C2" t="s">
        <v>12</v>
      </c>
      <c r="D2" t="s">
        <v>13</v>
      </c>
      <c r="E2" t="s">
        <v>14</v>
      </c>
      <c r="F2">
        <v>2</v>
      </c>
      <c r="G2">
        <v>499</v>
      </c>
      <c r="H2">
        <v>0</v>
      </c>
      <c r="I2" t="s">
        <v>15</v>
      </c>
      <c r="J2" t="s">
        <v>16</v>
      </c>
      <c r="K2" t="s">
        <v>17</v>
      </c>
      <c r="L2">
        <v>0</v>
      </c>
      <c r="M2">
        <v>998</v>
      </c>
      <c r="N2">
        <v>998</v>
      </c>
      <c r="O2">
        <v>998</v>
      </c>
    </row>
    <row r="3" spans="1:15" x14ac:dyDescent="0.3">
      <c r="A3" t="s">
        <v>18</v>
      </c>
      <c r="B3" s="1">
        <v>46024</v>
      </c>
      <c r="C3" t="s">
        <v>19</v>
      </c>
      <c r="D3" t="s">
        <v>20</v>
      </c>
      <c r="E3" t="s">
        <v>21</v>
      </c>
      <c r="F3">
        <v>1</v>
      </c>
      <c r="G3">
        <v>1299</v>
      </c>
      <c r="H3">
        <v>0</v>
      </c>
      <c r="I3" t="s">
        <v>22</v>
      </c>
      <c r="J3" t="s">
        <v>23</v>
      </c>
      <c r="K3" t="s">
        <v>24</v>
      </c>
      <c r="L3">
        <v>0</v>
      </c>
      <c r="M3">
        <v>1299</v>
      </c>
      <c r="N3">
        <v>1299</v>
      </c>
      <c r="O3">
        <v>0</v>
      </c>
    </row>
    <row r="4" spans="1:15" x14ac:dyDescent="0.3">
      <c r="A4" t="s">
        <v>25</v>
      </c>
      <c r="B4" s="1">
        <v>46024</v>
      </c>
      <c r="C4" t="s">
        <v>26</v>
      </c>
      <c r="D4" t="s">
        <v>13</v>
      </c>
      <c r="E4" t="s">
        <v>14</v>
      </c>
      <c r="F4">
        <v>1</v>
      </c>
      <c r="G4">
        <v>499</v>
      </c>
      <c r="H4">
        <v>0</v>
      </c>
      <c r="I4" t="s">
        <v>22</v>
      </c>
      <c r="J4" t="s">
        <v>16</v>
      </c>
      <c r="K4" t="s">
        <v>17</v>
      </c>
      <c r="L4">
        <v>0</v>
      </c>
      <c r="M4">
        <v>499</v>
      </c>
      <c r="N4">
        <v>499</v>
      </c>
      <c r="O4">
        <v>499</v>
      </c>
    </row>
    <row r="5" spans="1:15" x14ac:dyDescent="0.3">
      <c r="A5" t="s">
        <v>27</v>
      </c>
      <c r="B5" s="1">
        <v>46025</v>
      </c>
      <c r="C5" t="s">
        <v>28</v>
      </c>
      <c r="D5" t="s">
        <v>29</v>
      </c>
      <c r="E5" t="s">
        <v>30</v>
      </c>
      <c r="F5">
        <v>1</v>
      </c>
      <c r="G5">
        <v>349</v>
      </c>
      <c r="H5">
        <v>0.1</v>
      </c>
      <c r="I5" t="s">
        <v>22</v>
      </c>
      <c r="J5" t="s">
        <v>31</v>
      </c>
      <c r="K5" t="s">
        <v>17</v>
      </c>
      <c r="L5">
        <v>34.899999999999977</v>
      </c>
      <c r="M5">
        <v>349</v>
      </c>
      <c r="N5">
        <v>314.10000000000002</v>
      </c>
      <c r="O5">
        <v>314.10000000000002</v>
      </c>
    </row>
    <row r="6" spans="1:15" x14ac:dyDescent="0.3">
      <c r="A6" t="s">
        <v>32</v>
      </c>
      <c r="B6" s="1">
        <v>46026</v>
      </c>
      <c r="C6" t="s">
        <v>33</v>
      </c>
      <c r="D6" t="s">
        <v>34</v>
      </c>
      <c r="E6" t="s">
        <v>35</v>
      </c>
      <c r="F6">
        <v>1</v>
      </c>
      <c r="G6">
        <v>6499</v>
      </c>
      <c r="H6">
        <v>0</v>
      </c>
      <c r="I6" t="s">
        <v>36</v>
      </c>
      <c r="J6" t="s">
        <v>16</v>
      </c>
      <c r="K6" t="s">
        <v>17</v>
      </c>
      <c r="L6">
        <v>0</v>
      </c>
      <c r="M6">
        <v>6499</v>
      </c>
      <c r="N6">
        <v>6499</v>
      </c>
      <c r="O6">
        <v>6499</v>
      </c>
    </row>
    <row r="7" spans="1:15" x14ac:dyDescent="0.3">
      <c r="A7" t="s">
        <v>37</v>
      </c>
      <c r="B7" s="1">
        <v>46027</v>
      </c>
      <c r="C7" t="s">
        <v>38</v>
      </c>
      <c r="D7" t="s">
        <v>34</v>
      </c>
      <c r="E7" t="s">
        <v>39</v>
      </c>
      <c r="F7">
        <v>1</v>
      </c>
      <c r="G7">
        <v>499</v>
      </c>
      <c r="H7">
        <v>0.15</v>
      </c>
      <c r="I7" t="s">
        <v>40</v>
      </c>
      <c r="J7" t="s">
        <v>23</v>
      </c>
      <c r="K7" t="s">
        <v>17</v>
      </c>
      <c r="L7">
        <v>74.850000000000023</v>
      </c>
      <c r="M7">
        <v>499</v>
      </c>
      <c r="N7">
        <v>424.15</v>
      </c>
      <c r="O7">
        <v>424.15</v>
      </c>
    </row>
    <row r="8" spans="1:15" x14ac:dyDescent="0.3">
      <c r="A8" t="s">
        <v>41</v>
      </c>
      <c r="B8" s="1">
        <v>46027</v>
      </c>
      <c r="C8" t="s">
        <v>42</v>
      </c>
      <c r="D8" t="s">
        <v>34</v>
      </c>
      <c r="E8" t="s">
        <v>35</v>
      </c>
      <c r="F8">
        <v>1</v>
      </c>
      <c r="G8">
        <v>6499</v>
      </c>
      <c r="H8">
        <v>0.2</v>
      </c>
      <c r="I8" t="s">
        <v>40</v>
      </c>
      <c r="J8" t="s">
        <v>31</v>
      </c>
      <c r="K8" t="s">
        <v>24</v>
      </c>
      <c r="L8">
        <v>1299.7999999999993</v>
      </c>
      <c r="M8">
        <v>6499</v>
      </c>
      <c r="N8">
        <v>5199.2000000000007</v>
      </c>
      <c r="O8">
        <v>0</v>
      </c>
    </row>
    <row r="9" spans="1:15" x14ac:dyDescent="0.3">
      <c r="A9" t="s">
        <v>43</v>
      </c>
      <c r="B9" s="1">
        <v>46027</v>
      </c>
      <c r="C9" t="s">
        <v>44</v>
      </c>
      <c r="D9" t="s">
        <v>29</v>
      </c>
      <c r="E9" t="s">
        <v>30</v>
      </c>
      <c r="F9">
        <v>3</v>
      </c>
      <c r="G9">
        <v>349</v>
      </c>
      <c r="H9">
        <v>0.05</v>
      </c>
      <c r="I9" t="s">
        <v>40</v>
      </c>
      <c r="J9" t="s">
        <v>23</v>
      </c>
      <c r="K9" t="s">
        <v>24</v>
      </c>
      <c r="L9">
        <v>52.350000000000023</v>
      </c>
      <c r="M9">
        <v>1047</v>
      </c>
      <c r="N9">
        <v>994.65</v>
      </c>
      <c r="O9">
        <v>0</v>
      </c>
    </row>
    <row r="10" spans="1:15" x14ac:dyDescent="0.3">
      <c r="A10" t="s">
        <v>45</v>
      </c>
      <c r="B10" s="1">
        <v>46029</v>
      </c>
      <c r="C10" t="s">
        <v>38</v>
      </c>
      <c r="D10" t="s">
        <v>29</v>
      </c>
      <c r="E10" t="s">
        <v>46</v>
      </c>
      <c r="F10">
        <v>3</v>
      </c>
      <c r="G10">
        <v>199</v>
      </c>
      <c r="H10">
        <v>0.15</v>
      </c>
      <c r="I10" t="s">
        <v>15</v>
      </c>
      <c r="J10" t="s">
        <v>47</v>
      </c>
      <c r="K10" t="s">
        <v>17</v>
      </c>
      <c r="L10">
        <v>89.550000000000011</v>
      </c>
      <c r="M10">
        <v>597</v>
      </c>
      <c r="N10">
        <v>507.45</v>
      </c>
      <c r="O10">
        <v>507.45</v>
      </c>
    </row>
    <row r="11" spans="1:15" x14ac:dyDescent="0.3">
      <c r="A11" t="s">
        <v>48</v>
      </c>
      <c r="B11" s="1">
        <v>46029</v>
      </c>
      <c r="C11" t="s">
        <v>49</v>
      </c>
      <c r="D11" t="s">
        <v>13</v>
      </c>
      <c r="E11" t="s">
        <v>14</v>
      </c>
      <c r="F11">
        <v>1</v>
      </c>
      <c r="G11">
        <v>499</v>
      </c>
      <c r="H11">
        <v>0.2</v>
      </c>
      <c r="I11" t="s">
        <v>15</v>
      </c>
      <c r="J11" t="s">
        <v>23</v>
      </c>
      <c r="K11" t="s">
        <v>50</v>
      </c>
      <c r="L11">
        <v>99.799999999999955</v>
      </c>
      <c r="M11">
        <v>499</v>
      </c>
      <c r="N11">
        <v>399.20000000000005</v>
      </c>
      <c r="O11">
        <v>0</v>
      </c>
    </row>
    <row r="12" spans="1:15" x14ac:dyDescent="0.3">
      <c r="A12" t="s">
        <v>51</v>
      </c>
      <c r="B12" s="1">
        <v>46029</v>
      </c>
      <c r="C12" t="s">
        <v>52</v>
      </c>
      <c r="D12" t="s">
        <v>34</v>
      </c>
      <c r="E12" t="s">
        <v>53</v>
      </c>
      <c r="F12">
        <v>2</v>
      </c>
      <c r="G12">
        <v>899</v>
      </c>
      <c r="H12">
        <v>0</v>
      </c>
      <c r="I12" t="s">
        <v>36</v>
      </c>
      <c r="J12" t="s">
        <v>23</v>
      </c>
      <c r="K12" t="s">
        <v>17</v>
      </c>
      <c r="L12">
        <v>0</v>
      </c>
      <c r="M12">
        <v>1798</v>
      </c>
      <c r="N12">
        <v>1798</v>
      </c>
      <c r="O12">
        <v>1798</v>
      </c>
    </row>
    <row r="13" spans="1:15" x14ac:dyDescent="0.3">
      <c r="A13" t="s">
        <v>54</v>
      </c>
      <c r="B13" s="1">
        <v>46030</v>
      </c>
      <c r="C13" t="s">
        <v>55</v>
      </c>
      <c r="D13" t="s">
        <v>34</v>
      </c>
      <c r="E13" t="s">
        <v>39</v>
      </c>
      <c r="F13">
        <v>1</v>
      </c>
      <c r="G13">
        <v>499</v>
      </c>
      <c r="H13">
        <v>0.1</v>
      </c>
      <c r="I13" t="s">
        <v>40</v>
      </c>
      <c r="J13" t="s">
        <v>23</v>
      </c>
      <c r="K13" t="s">
        <v>24</v>
      </c>
      <c r="L13">
        <v>49.899999999999977</v>
      </c>
      <c r="M13">
        <v>499</v>
      </c>
      <c r="N13">
        <v>449.1</v>
      </c>
      <c r="O13">
        <v>0</v>
      </c>
    </row>
    <row r="14" spans="1:15" x14ac:dyDescent="0.3">
      <c r="A14" t="s">
        <v>56</v>
      </c>
      <c r="B14" s="1">
        <v>46030</v>
      </c>
      <c r="C14" t="s">
        <v>57</v>
      </c>
      <c r="D14" t="s">
        <v>20</v>
      </c>
      <c r="E14" t="s">
        <v>21</v>
      </c>
      <c r="F14">
        <v>4</v>
      </c>
      <c r="G14">
        <v>1299</v>
      </c>
      <c r="H14">
        <v>0.2</v>
      </c>
      <c r="I14" t="s">
        <v>22</v>
      </c>
      <c r="J14" t="s">
        <v>58</v>
      </c>
      <c r="K14" t="s">
        <v>24</v>
      </c>
      <c r="L14">
        <v>1039.1999999999998</v>
      </c>
      <c r="M14">
        <v>5196</v>
      </c>
      <c r="N14">
        <v>4156.8</v>
      </c>
      <c r="O14">
        <v>0</v>
      </c>
    </row>
    <row r="15" spans="1:15" x14ac:dyDescent="0.3">
      <c r="A15" t="s">
        <v>59</v>
      </c>
      <c r="B15" s="1">
        <v>46031</v>
      </c>
      <c r="C15" t="s">
        <v>60</v>
      </c>
      <c r="D15" t="s">
        <v>29</v>
      </c>
      <c r="E15" t="s">
        <v>30</v>
      </c>
      <c r="F15">
        <v>1</v>
      </c>
      <c r="G15">
        <v>349</v>
      </c>
      <c r="H15">
        <v>0.05</v>
      </c>
      <c r="I15" t="s">
        <v>36</v>
      </c>
      <c r="J15" t="s">
        <v>47</v>
      </c>
      <c r="K15" t="s">
        <v>17</v>
      </c>
      <c r="L15">
        <v>17.449999999999989</v>
      </c>
      <c r="M15">
        <v>349</v>
      </c>
      <c r="N15">
        <v>331.55</v>
      </c>
      <c r="O15">
        <v>331.55</v>
      </c>
    </row>
    <row r="16" spans="1:15" x14ac:dyDescent="0.3">
      <c r="A16" t="s">
        <v>61</v>
      </c>
      <c r="B16" s="1">
        <v>46031</v>
      </c>
      <c r="C16" t="s">
        <v>62</v>
      </c>
      <c r="D16" t="s">
        <v>34</v>
      </c>
      <c r="E16" t="s">
        <v>63</v>
      </c>
      <c r="F16">
        <v>2</v>
      </c>
      <c r="G16">
        <v>599</v>
      </c>
      <c r="H16">
        <v>0.05</v>
      </c>
      <c r="I16" t="s">
        <v>36</v>
      </c>
      <c r="J16" t="s">
        <v>16</v>
      </c>
      <c r="K16" t="s">
        <v>50</v>
      </c>
      <c r="L16">
        <v>59.900000000000091</v>
      </c>
      <c r="M16">
        <v>1198</v>
      </c>
      <c r="N16">
        <v>1138.0999999999999</v>
      </c>
      <c r="O16">
        <v>0</v>
      </c>
    </row>
    <row r="17" spans="1:15" x14ac:dyDescent="0.3">
      <c r="A17" t="s">
        <v>64</v>
      </c>
      <c r="B17" s="1">
        <v>46031</v>
      </c>
      <c r="C17" t="s">
        <v>65</v>
      </c>
      <c r="D17" t="s">
        <v>20</v>
      </c>
      <c r="E17" t="s">
        <v>66</v>
      </c>
      <c r="F17">
        <v>1</v>
      </c>
      <c r="G17">
        <v>799</v>
      </c>
      <c r="H17">
        <v>0</v>
      </c>
      <c r="I17" t="s">
        <v>40</v>
      </c>
      <c r="J17" t="s">
        <v>47</v>
      </c>
      <c r="K17" t="s">
        <v>17</v>
      </c>
      <c r="L17">
        <v>0</v>
      </c>
      <c r="M17">
        <v>799</v>
      </c>
      <c r="N17">
        <v>799</v>
      </c>
      <c r="O17">
        <v>799</v>
      </c>
    </row>
    <row r="18" spans="1:15" x14ac:dyDescent="0.3">
      <c r="A18" t="s">
        <v>67</v>
      </c>
      <c r="B18" s="1">
        <v>46032</v>
      </c>
      <c r="C18" t="s">
        <v>68</v>
      </c>
      <c r="D18" t="s">
        <v>13</v>
      </c>
      <c r="E18" t="s">
        <v>69</v>
      </c>
      <c r="F18">
        <v>2</v>
      </c>
      <c r="G18">
        <v>299</v>
      </c>
      <c r="H18">
        <v>0.15</v>
      </c>
      <c r="I18" t="s">
        <v>15</v>
      </c>
      <c r="J18" t="s">
        <v>23</v>
      </c>
      <c r="K18" t="s">
        <v>17</v>
      </c>
      <c r="L18">
        <v>89.699999999999989</v>
      </c>
      <c r="M18">
        <v>598</v>
      </c>
      <c r="N18">
        <v>508.3</v>
      </c>
      <c r="O18">
        <v>508.3</v>
      </c>
    </row>
    <row r="19" spans="1:15" x14ac:dyDescent="0.3">
      <c r="A19" t="s">
        <v>70</v>
      </c>
      <c r="B19" s="1">
        <v>46032</v>
      </c>
      <c r="C19" t="s">
        <v>71</v>
      </c>
      <c r="D19" t="s">
        <v>20</v>
      </c>
      <c r="E19" t="s">
        <v>72</v>
      </c>
      <c r="F19">
        <v>1</v>
      </c>
      <c r="G19">
        <v>1799</v>
      </c>
      <c r="H19">
        <v>0.1</v>
      </c>
      <c r="I19" t="s">
        <v>40</v>
      </c>
      <c r="J19" t="s">
        <v>31</v>
      </c>
      <c r="K19" t="s">
        <v>24</v>
      </c>
      <c r="L19">
        <v>179.89999999999986</v>
      </c>
      <c r="M19">
        <v>1799</v>
      </c>
      <c r="N19">
        <v>1619.1000000000001</v>
      </c>
      <c r="O19">
        <v>0</v>
      </c>
    </row>
    <row r="20" spans="1:15" x14ac:dyDescent="0.3">
      <c r="A20" t="s">
        <v>73</v>
      </c>
      <c r="B20" s="1">
        <v>46032</v>
      </c>
      <c r="C20" t="s">
        <v>74</v>
      </c>
      <c r="D20" t="s">
        <v>29</v>
      </c>
      <c r="E20" t="s">
        <v>30</v>
      </c>
      <c r="F20">
        <v>1</v>
      </c>
      <c r="G20">
        <v>349</v>
      </c>
      <c r="H20">
        <v>0.05</v>
      </c>
      <c r="I20" t="s">
        <v>36</v>
      </c>
      <c r="J20" t="s">
        <v>47</v>
      </c>
      <c r="K20" t="s">
        <v>17</v>
      </c>
      <c r="L20">
        <v>17.449999999999989</v>
      </c>
      <c r="M20">
        <v>349</v>
      </c>
      <c r="N20">
        <v>331.55</v>
      </c>
      <c r="O20">
        <v>331.55</v>
      </c>
    </row>
    <row r="21" spans="1:15" x14ac:dyDescent="0.3">
      <c r="A21" t="s">
        <v>75</v>
      </c>
      <c r="B21" s="1">
        <v>46034</v>
      </c>
      <c r="C21" t="s">
        <v>76</v>
      </c>
      <c r="D21" t="s">
        <v>29</v>
      </c>
      <c r="E21" t="s">
        <v>77</v>
      </c>
      <c r="F21">
        <v>5</v>
      </c>
      <c r="G21">
        <v>399</v>
      </c>
      <c r="H21">
        <v>0.1</v>
      </c>
      <c r="I21" t="s">
        <v>40</v>
      </c>
      <c r="J21" t="s">
        <v>47</v>
      </c>
      <c r="K21" t="s">
        <v>17</v>
      </c>
      <c r="L21">
        <v>199.5</v>
      </c>
      <c r="M21">
        <v>1995</v>
      </c>
      <c r="N21">
        <v>1795.5</v>
      </c>
      <c r="O21">
        <v>1795.5</v>
      </c>
    </row>
    <row r="22" spans="1:15" x14ac:dyDescent="0.3">
      <c r="A22" t="s">
        <v>78</v>
      </c>
      <c r="B22" s="1">
        <v>46034</v>
      </c>
      <c r="C22" t="s">
        <v>79</v>
      </c>
      <c r="D22" t="s">
        <v>20</v>
      </c>
      <c r="E22" t="s">
        <v>21</v>
      </c>
      <c r="F22">
        <v>2</v>
      </c>
      <c r="G22">
        <v>1299</v>
      </c>
      <c r="H22">
        <v>0.05</v>
      </c>
      <c r="I22" t="s">
        <v>22</v>
      </c>
      <c r="J22" t="s">
        <v>16</v>
      </c>
      <c r="K22" t="s">
        <v>17</v>
      </c>
      <c r="L22">
        <v>129.90000000000009</v>
      </c>
      <c r="M22">
        <v>2598</v>
      </c>
      <c r="N22">
        <v>2468.1</v>
      </c>
      <c r="O22">
        <v>2468.1</v>
      </c>
    </row>
    <row r="23" spans="1:15" x14ac:dyDescent="0.3">
      <c r="A23" t="s">
        <v>80</v>
      </c>
      <c r="B23" s="1">
        <v>46034</v>
      </c>
      <c r="C23" t="s">
        <v>81</v>
      </c>
      <c r="D23" t="s">
        <v>20</v>
      </c>
      <c r="E23" t="s">
        <v>82</v>
      </c>
      <c r="F23">
        <v>2</v>
      </c>
      <c r="G23">
        <v>2299</v>
      </c>
      <c r="H23">
        <v>0.15</v>
      </c>
      <c r="I23" t="s">
        <v>36</v>
      </c>
      <c r="J23" t="s">
        <v>58</v>
      </c>
      <c r="K23" t="s">
        <v>24</v>
      </c>
      <c r="L23">
        <v>689.70000000000027</v>
      </c>
      <c r="M23">
        <v>4598</v>
      </c>
      <c r="N23">
        <v>3908.2999999999997</v>
      </c>
      <c r="O23">
        <v>0</v>
      </c>
    </row>
    <row r="24" spans="1:15" x14ac:dyDescent="0.3">
      <c r="A24" t="s">
        <v>83</v>
      </c>
      <c r="B24" s="1">
        <v>46034</v>
      </c>
      <c r="C24" t="s">
        <v>84</v>
      </c>
      <c r="D24" t="s">
        <v>29</v>
      </c>
      <c r="E24" t="s">
        <v>85</v>
      </c>
      <c r="F24">
        <v>2</v>
      </c>
      <c r="G24">
        <v>299</v>
      </c>
      <c r="H24">
        <v>0.2</v>
      </c>
      <c r="I24" t="s">
        <v>40</v>
      </c>
      <c r="J24" t="s">
        <v>23</v>
      </c>
      <c r="K24" t="s">
        <v>17</v>
      </c>
      <c r="L24">
        <v>119.59999999999997</v>
      </c>
      <c r="M24">
        <v>598</v>
      </c>
      <c r="N24">
        <v>478.40000000000003</v>
      </c>
      <c r="O24">
        <v>478.40000000000003</v>
      </c>
    </row>
    <row r="25" spans="1:15" x14ac:dyDescent="0.3">
      <c r="A25" t="s">
        <v>86</v>
      </c>
      <c r="B25" s="1">
        <v>46034</v>
      </c>
      <c r="C25" t="s">
        <v>87</v>
      </c>
      <c r="D25" t="s">
        <v>34</v>
      </c>
      <c r="E25" t="s">
        <v>63</v>
      </c>
      <c r="F25">
        <v>1</v>
      </c>
      <c r="G25">
        <v>599</v>
      </c>
      <c r="H25">
        <v>0.1</v>
      </c>
      <c r="I25" t="s">
        <v>36</v>
      </c>
      <c r="J25" t="s">
        <v>58</v>
      </c>
      <c r="K25" t="s">
        <v>17</v>
      </c>
      <c r="L25">
        <v>59.899999999999977</v>
      </c>
      <c r="M25">
        <v>599</v>
      </c>
      <c r="N25">
        <v>539.1</v>
      </c>
      <c r="O25">
        <v>539.1</v>
      </c>
    </row>
    <row r="26" spans="1:15" x14ac:dyDescent="0.3">
      <c r="A26" t="s">
        <v>88</v>
      </c>
      <c r="B26" s="1">
        <v>46034</v>
      </c>
      <c r="C26" t="s">
        <v>79</v>
      </c>
      <c r="D26" t="s">
        <v>20</v>
      </c>
      <c r="E26" t="s">
        <v>72</v>
      </c>
      <c r="F26">
        <v>3</v>
      </c>
      <c r="G26">
        <v>1799</v>
      </c>
      <c r="H26">
        <v>0.1</v>
      </c>
      <c r="I26" t="s">
        <v>22</v>
      </c>
      <c r="J26" t="s">
        <v>47</v>
      </c>
      <c r="K26" t="s">
        <v>17</v>
      </c>
      <c r="L26">
        <v>539.69999999999982</v>
      </c>
      <c r="M26">
        <v>5397</v>
      </c>
      <c r="N26">
        <v>4857.3</v>
      </c>
      <c r="O26">
        <v>4857.3</v>
      </c>
    </row>
    <row r="27" spans="1:15" x14ac:dyDescent="0.3">
      <c r="A27" t="s">
        <v>89</v>
      </c>
      <c r="B27" s="1">
        <v>46035</v>
      </c>
      <c r="C27" t="s">
        <v>90</v>
      </c>
      <c r="D27" t="s">
        <v>13</v>
      </c>
      <c r="E27" t="s">
        <v>14</v>
      </c>
      <c r="F27">
        <v>3</v>
      </c>
      <c r="G27">
        <v>499</v>
      </c>
      <c r="H27">
        <v>0</v>
      </c>
      <c r="I27" t="s">
        <v>15</v>
      </c>
      <c r="J27" t="s">
        <v>58</v>
      </c>
      <c r="K27" t="s">
        <v>17</v>
      </c>
      <c r="L27">
        <v>0</v>
      </c>
      <c r="M27">
        <v>1497</v>
      </c>
      <c r="N27">
        <v>1497</v>
      </c>
      <c r="O27">
        <v>1497</v>
      </c>
    </row>
    <row r="28" spans="1:15" x14ac:dyDescent="0.3">
      <c r="A28" t="s">
        <v>91</v>
      </c>
      <c r="B28" s="1">
        <v>46035</v>
      </c>
      <c r="C28" t="s">
        <v>92</v>
      </c>
      <c r="D28" t="s">
        <v>13</v>
      </c>
      <c r="E28" t="s">
        <v>93</v>
      </c>
      <c r="F28">
        <v>2</v>
      </c>
      <c r="G28">
        <v>1499</v>
      </c>
      <c r="H28">
        <v>0.2</v>
      </c>
      <c r="I28" t="s">
        <v>15</v>
      </c>
      <c r="J28" t="s">
        <v>23</v>
      </c>
      <c r="K28" t="s">
        <v>24</v>
      </c>
      <c r="L28">
        <v>599.59999999999991</v>
      </c>
      <c r="M28">
        <v>2998</v>
      </c>
      <c r="N28">
        <v>2398.4</v>
      </c>
      <c r="O28">
        <v>0</v>
      </c>
    </row>
    <row r="29" spans="1:15" x14ac:dyDescent="0.3">
      <c r="A29" t="s">
        <v>94</v>
      </c>
      <c r="B29" s="1">
        <v>46035</v>
      </c>
      <c r="C29" t="s">
        <v>95</v>
      </c>
      <c r="D29" t="s">
        <v>29</v>
      </c>
      <c r="E29" t="s">
        <v>77</v>
      </c>
      <c r="F29">
        <v>3</v>
      </c>
      <c r="G29">
        <v>399</v>
      </c>
      <c r="H29">
        <v>0.1</v>
      </c>
      <c r="I29" t="s">
        <v>36</v>
      </c>
      <c r="J29" t="s">
        <v>31</v>
      </c>
      <c r="K29" t="s">
        <v>17</v>
      </c>
      <c r="L29">
        <v>119.70000000000005</v>
      </c>
      <c r="M29">
        <v>1197</v>
      </c>
      <c r="N29">
        <v>1077.3</v>
      </c>
      <c r="O29">
        <v>1077.3</v>
      </c>
    </row>
    <row r="30" spans="1:15" x14ac:dyDescent="0.3">
      <c r="A30" t="s">
        <v>96</v>
      </c>
      <c r="B30" s="1">
        <v>46035</v>
      </c>
      <c r="C30" t="s">
        <v>97</v>
      </c>
      <c r="D30" t="s">
        <v>20</v>
      </c>
      <c r="E30" t="s">
        <v>98</v>
      </c>
      <c r="F30">
        <v>2</v>
      </c>
      <c r="G30">
        <v>999</v>
      </c>
      <c r="H30">
        <v>0.15</v>
      </c>
      <c r="I30" t="s">
        <v>40</v>
      </c>
      <c r="J30" t="s">
        <v>23</v>
      </c>
      <c r="K30" t="s">
        <v>17</v>
      </c>
      <c r="L30">
        <v>299.70000000000005</v>
      </c>
      <c r="M30">
        <v>1998</v>
      </c>
      <c r="N30">
        <v>1698.3</v>
      </c>
      <c r="O30">
        <v>1698.3</v>
      </c>
    </row>
    <row r="31" spans="1:15" x14ac:dyDescent="0.3">
      <c r="A31" t="s">
        <v>99</v>
      </c>
      <c r="B31" s="1">
        <v>46036</v>
      </c>
      <c r="C31" t="s">
        <v>42</v>
      </c>
      <c r="D31" t="s">
        <v>13</v>
      </c>
      <c r="E31" t="s">
        <v>93</v>
      </c>
      <c r="F31">
        <v>1</v>
      </c>
      <c r="G31">
        <v>1499</v>
      </c>
      <c r="H31">
        <v>0.05</v>
      </c>
      <c r="I31" t="s">
        <v>36</v>
      </c>
      <c r="J31" t="s">
        <v>16</v>
      </c>
      <c r="K31" t="s">
        <v>17</v>
      </c>
      <c r="L31">
        <v>74.950000000000045</v>
      </c>
      <c r="M31">
        <v>1499</v>
      </c>
      <c r="N31">
        <v>1424.05</v>
      </c>
      <c r="O31">
        <v>1424.05</v>
      </c>
    </row>
    <row r="32" spans="1:15" x14ac:dyDescent="0.3">
      <c r="A32" t="s">
        <v>100</v>
      </c>
      <c r="B32" s="1">
        <v>46037</v>
      </c>
      <c r="C32" t="s">
        <v>65</v>
      </c>
      <c r="D32" t="s">
        <v>29</v>
      </c>
      <c r="E32" t="s">
        <v>85</v>
      </c>
      <c r="F32">
        <v>1</v>
      </c>
      <c r="G32">
        <v>299</v>
      </c>
      <c r="H32">
        <v>0.05</v>
      </c>
      <c r="I32" t="s">
        <v>15</v>
      </c>
      <c r="J32" t="s">
        <v>16</v>
      </c>
      <c r="K32" t="s">
        <v>17</v>
      </c>
      <c r="L32">
        <v>14.949999999999989</v>
      </c>
      <c r="M32">
        <v>299</v>
      </c>
      <c r="N32">
        <v>284.05</v>
      </c>
      <c r="O32">
        <v>284.05</v>
      </c>
    </row>
    <row r="33" spans="1:15" x14ac:dyDescent="0.3">
      <c r="A33" t="s">
        <v>101</v>
      </c>
      <c r="B33" s="1">
        <v>46037</v>
      </c>
      <c r="C33" t="s">
        <v>19</v>
      </c>
      <c r="D33" t="s">
        <v>29</v>
      </c>
      <c r="E33" t="s">
        <v>77</v>
      </c>
      <c r="F33">
        <v>1</v>
      </c>
      <c r="G33">
        <v>399</v>
      </c>
      <c r="H33">
        <v>0.05</v>
      </c>
      <c r="I33" t="s">
        <v>40</v>
      </c>
      <c r="J33" t="s">
        <v>58</v>
      </c>
      <c r="K33" t="s">
        <v>24</v>
      </c>
      <c r="L33">
        <v>19.950000000000045</v>
      </c>
      <c r="M33">
        <v>399</v>
      </c>
      <c r="N33">
        <v>379.04999999999995</v>
      </c>
      <c r="O33">
        <v>0</v>
      </c>
    </row>
    <row r="34" spans="1:15" x14ac:dyDescent="0.3">
      <c r="A34" t="s">
        <v>102</v>
      </c>
      <c r="B34" s="1">
        <v>46037</v>
      </c>
      <c r="C34" t="s">
        <v>71</v>
      </c>
      <c r="D34" t="s">
        <v>20</v>
      </c>
      <c r="E34" t="s">
        <v>82</v>
      </c>
      <c r="F34">
        <v>2</v>
      </c>
      <c r="G34">
        <v>2299</v>
      </c>
      <c r="H34">
        <v>0.15</v>
      </c>
      <c r="I34" t="s">
        <v>40</v>
      </c>
      <c r="J34" t="s">
        <v>16</v>
      </c>
      <c r="K34" t="s">
        <v>17</v>
      </c>
      <c r="L34">
        <v>689.70000000000027</v>
      </c>
      <c r="M34">
        <v>4598</v>
      </c>
      <c r="N34">
        <v>3908.2999999999997</v>
      </c>
      <c r="O34">
        <v>3908.2999999999997</v>
      </c>
    </row>
    <row r="35" spans="1:15" x14ac:dyDescent="0.3">
      <c r="A35" t="s">
        <v>103</v>
      </c>
      <c r="B35" s="1">
        <v>46037</v>
      </c>
      <c r="C35" t="s">
        <v>76</v>
      </c>
      <c r="D35" t="s">
        <v>20</v>
      </c>
      <c r="E35" t="s">
        <v>66</v>
      </c>
      <c r="F35">
        <v>2</v>
      </c>
      <c r="G35">
        <v>799</v>
      </c>
      <c r="H35">
        <v>0</v>
      </c>
      <c r="I35" t="s">
        <v>36</v>
      </c>
      <c r="J35" t="s">
        <v>31</v>
      </c>
      <c r="K35" t="s">
        <v>50</v>
      </c>
      <c r="L35">
        <v>0</v>
      </c>
      <c r="M35">
        <v>1598</v>
      </c>
      <c r="N35">
        <v>1598</v>
      </c>
      <c r="O35">
        <v>0</v>
      </c>
    </row>
    <row r="36" spans="1:15" x14ac:dyDescent="0.3">
      <c r="A36" t="s">
        <v>104</v>
      </c>
      <c r="B36" s="1">
        <v>46038</v>
      </c>
      <c r="C36" t="s">
        <v>105</v>
      </c>
      <c r="D36" t="s">
        <v>20</v>
      </c>
      <c r="E36" t="s">
        <v>98</v>
      </c>
      <c r="F36">
        <v>4</v>
      </c>
      <c r="G36">
        <v>999</v>
      </c>
      <c r="H36">
        <v>0.05</v>
      </c>
      <c r="I36" t="s">
        <v>15</v>
      </c>
      <c r="J36" t="s">
        <v>47</v>
      </c>
      <c r="K36" t="s">
        <v>50</v>
      </c>
      <c r="L36">
        <v>199.80000000000018</v>
      </c>
      <c r="M36">
        <v>3996</v>
      </c>
      <c r="N36">
        <v>3796.2</v>
      </c>
      <c r="O36">
        <v>0</v>
      </c>
    </row>
    <row r="37" spans="1:15" x14ac:dyDescent="0.3">
      <c r="A37" t="s">
        <v>106</v>
      </c>
      <c r="B37" s="1">
        <v>46038</v>
      </c>
      <c r="C37" t="s">
        <v>107</v>
      </c>
      <c r="D37" t="s">
        <v>34</v>
      </c>
      <c r="E37" t="s">
        <v>108</v>
      </c>
      <c r="F37">
        <v>2</v>
      </c>
      <c r="G37">
        <v>1599</v>
      </c>
      <c r="H37">
        <v>0.2</v>
      </c>
      <c r="I37" t="s">
        <v>22</v>
      </c>
      <c r="J37" t="s">
        <v>31</v>
      </c>
      <c r="K37" t="s">
        <v>17</v>
      </c>
      <c r="L37">
        <v>639.59999999999991</v>
      </c>
      <c r="M37">
        <v>3198</v>
      </c>
      <c r="N37">
        <v>2558.4</v>
      </c>
      <c r="O37">
        <v>2558.4</v>
      </c>
    </row>
    <row r="38" spans="1:15" x14ac:dyDescent="0.3">
      <c r="A38" t="s">
        <v>109</v>
      </c>
      <c r="B38" s="1">
        <v>46038</v>
      </c>
      <c r="C38" t="s">
        <v>110</v>
      </c>
      <c r="D38" t="s">
        <v>20</v>
      </c>
      <c r="E38" t="s">
        <v>72</v>
      </c>
      <c r="F38">
        <v>2</v>
      </c>
      <c r="G38">
        <v>1799</v>
      </c>
      <c r="H38">
        <v>0.05</v>
      </c>
      <c r="I38" t="s">
        <v>40</v>
      </c>
      <c r="J38" t="s">
        <v>58</v>
      </c>
      <c r="K38" t="s">
        <v>17</v>
      </c>
      <c r="L38">
        <v>179.90000000000009</v>
      </c>
      <c r="M38">
        <v>3598</v>
      </c>
      <c r="N38">
        <v>3418.1</v>
      </c>
      <c r="O38">
        <v>3418.1</v>
      </c>
    </row>
    <row r="39" spans="1:15" x14ac:dyDescent="0.3">
      <c r="A39" t="s">
        <v>111</v>
      </c>
      <c r="B39" s="1">
        <v>46038</v>
      </c>
      <c r="C39" t="s">
        <v>112</v>
      </c>
      <c r="D39" t="s">
        <v>20</v>
      </c>
      <c r="E39" t="s">
        <v>21</v>
      </c>
      <c r="F39">
        <v>3</v>
      </c>
      <c r="G39">
        <v>1299</v>
      </c>
      <c r="H39">
        <v>0</v>
      </c>
      <c r="I39" t="s">
        <v>40</v>
      </c>
      <c r="J39" t="s">
        <v>23</v>
      </c>
      <c r="K39" t="s">
        <v>17</v>
      </c>
      <c r="L39">
        <v>0</v>
      </c>
      <c r="M39">
        <v>3897</v>
      </c>
      <c r="N39">
        <v>3897</v>
      </c>
      <c r="O39">
        <v>3897</v>
      </c>
    </row>
    <row r="40" spans="1:15" x14ac:dyDescent="0.3">
      <c r="A40" t="s">
        <v>113</v>
      </c>
      <c r="B40" s="1">
        <v>46038</v>
      </c>
      <c r="C40" t="s">
        <v>114</v>
      </c>
      <c r="D40" t="s">
        <v>29</v>
      </c>
      <c r="E40" t="s">
        <v>85</v>
      </c>
      <c r="F40">
        <v>2</v>
      </c>
      <c r="G40">
        <v>299</v>
      </c>
      <c r="H40">
        <v>0.2</v>
      </c>
      <c r="I40" t="s">
        <v>15</v>
      </c>
      <c r="J40" t="s">
        <v>47</v>
      </c>
      <c r="K40" t="s">
        <v>50</v>
      </c>
      <c r="L40">
        <v>119.59999999999997</v>
      </c>
      <c r="M40">
        <v>598</v>
      </c>
      <c r="N40">
        <v>478.40000000000003</v>
      </c>
      <c r="O40">
        <v>0</v>
      </c>
    </row>
    <row r="41" spans="1:15" x14ac:dyDescent="0.3">
      <c r="A41" t="s">
        <v>115</v>
      </c>
      <c r="B41" s="1">
        <v>46038</v>
      </c>
      <c r="C41" t="s">
        <v>62</v>
      </c>
      <c r="D41" t="s">
        <v>20</v>
      </c>
      <c r="E41" t="s">
        <v>82</v>
      </c>
      <c r="F41">
        <v>2</v>
      </c>
      <c r="G41">
        <v>2299</v>
      </c>
      <c r="H41">
        <v>0.05</v>
      </c>
      <c r="I41" t="s">
        <v>15</v>
      </c>
      <c r="J41" t="s">
        <v>58</v>
      </c>
      <c r="K41" t="s">
        <v>50</v>
      </c>
      <c r="L41">
        <v>229.90000000000055</v>
      </c>
      <c r="M41">
        <v>4598</v>
      </c>
      <c r="N41">
        <v>4368.0999999999995</v>
      </c>
      <c r="O41">
        <v>0</v>
      </c>
    </row>
    <row r="42" spans="1:15" x14ac:dyDescent="0.3">
      <c r="A42" t="s">
        <v>116</v>
      </c>
      <c r="B42" s="1">
        <v>46038</v>
      </c>
      <c r="C42" t="s">
        <v>117</v>
      </c>
      <c r="D42" t="s">
        <v>34</v>
      </c>
      <c r="E42" t="s">
        <v>39</v>
      </c>
      <c r="F42">
        <v>1</v>
      </c>
      <c r="G42">
        <v>499</v>
      </c>
      <c r="H42">
        <v>0.05</v>
      </c>
      <c r="I42" t="s">
        <v>36</v>
      </c>
      <c r="J42" t="s">
        <v>47</v>
      </c>
      <c r="K42" t="s">
        <v>17</v>
      </c>
      <c r="L42">
        <v>24.950000000000045</v>
      </c>
      <c r="M42">
        <v>499</v>
      </c>
      <c r="N42">
        <v>474.04999999999995</v>
      </c>
      <c r="O42">
        <v>474.04999999999995</v>
      </c>
    </row>
    <row r="43" spans="1:15" x14ac:dyDescent="0.3">
      <c r="A43" t="s">
        <v>118</v>
      </c>
      <c r="B43" s="1">
        <v>46038</v>
      </c>
      <c r="C43" t="s">
        <v>119</v>
      </c>
      <c r="D43" t="s">
        <v>20</v>
      </c>
      <c r="E43" t="s">
        <v>82</v>
      </c>
      <c r="F43">
        <v>1</v>
      </c>
      <c r="G43">
        <v>2299</v>
      </c>
      <c r="H43">
        <v>0.1</v>
      </c>
      <c r="I43" t="s">
        <v>22</v>
      </c>
      <c r="J43" t="s">
        <v>31</v>
      </c>
      <c r="K43" t="s">
        <v>50</v>
      </c>
      <c r="L43">
        <v>229.90000000000009</v>
      </c>
      <c r="M43">
        <v>2299</v>
      </c>
      <c r="N43">
        <v>2069.1</v>
      </c>
      <c r="O43">
        <v>0</v>
      </c>
    </row>
    <row r="44" spans="1:15" x14ac:dyDescent="0.3">
      <c r="A44" t="s">
        <v>120</v>
      </c>
      <c r="B44" s="1">
        <v>46039</v>
      </c>
      <c r="C44" t="s">
        <v>121</v>
      </c>
      <c r="D44" t="s">
        <v>29</v>
      </c>
      <c r="E44" t="s">
        <v>122</v>
      </c>
      <c r="F44">
        <v>1</v>
      </c>
      <c r="G44">
        <v>249</v>
      </c>
      <c r="H44">
        <v>0.05</v>
      </c>
      <c r="I44" t="s">
        <v>40</v>
      </c>
      <c r="J44" t="s">
        <v>58</v>
      </c>
      <c r="K44" t="s">
        <v>17</v>
      </c>
      <c r="L44">
        <v>12.450000000000017</v>
      </c>
      <c r="M44">
        <v>249</v>
      </c>
      <c r="N44">
        <v>236.54999999999998</v>
      </c>
      <c r="O44">
        <v>236.54999999999998</v>
      </c>
    </row>
    <row r="45" spans="1:15" x14ac:dyDescent="0.3">
      <c r="A45" t="s">
        <v>123</v>
      </c>
      <c r="B45" s="1">
        <v>46039</v>
      </c>
      <c r="C45" t="s">
        <v>124</v>
      </c>
      <c r="D45" t="s">
        <v>13</v>
      </c>
      <c r="E45" t="s">
        <v>125</v>
      </c>
      <c r="F45">
        <v>1</v>
      </c>
      <c r="G45">
        <v>1199</v>
      </c>
      <c r="H45">
        <v>0.2</v>
      </c>
      <c r="I45" t="s">
        <v>40</v>
      </c>
      <c r="J45" t="s">
        <v>58</v>
      </c>
      <c r="K45" t="s">
        <v>17</v>
      </c>
      <c r="L45">
        <v>239.79999999999995</v>
      </c>
      <c r="M45">
        <v>1199</v>
      </c>
      <c r="N45">
        <v>959.2</v>
      </c>
      <c r="O45">
        <v>959.2</v>
      </c>
    </row>
    <row r="46" spans="1:15" x14ac:dyDescent="0.3">
      <c r="A46" t="s">
        <v>126</v>
      </c>
      <c r="B46" s="1">
        <v>46040</v>
      </c>
      <c r="C46" t="s">
        <v>127</v>
      </c>
      <c r="D46" t="s">
        <v>29</v>
      </c>
      <c r="E46" t="s">
        <v>85</v>
      </c>
      <c r="F46">
        <v>1</v>
      </c>
      <c r="G46">
        <v>299</v>
      </c>
      <c r="H46">
        <v>0.15</v>
      </c>
      <c r="I46" t="s">
        <v>22</v>
      </c>
      <c r="J46" t="s">
        <v>16</v>
      </c>
      <c r="K46" t="s">
        <v>50</v>
      </c>
      <c r="L46">
        <v>44.849999999999994</v>
      </c>
      <c r="M46">
        <v>299</v>
      </c>
      <c r="N46">
        <v>254.15</v>
      </c>
      <c r="O46">
        <v>0</v>
      </c>
    </row>
    <row r="47" spans="1:15" x14ac:dyDescent="0.3">
      <c r="A47" t="s">
        <v>128</v>
      </c>
      <c r="B47" s="1">
        <v>46040</v>
      </c>
      <c r="C47" t="s">
        <v>110</v>
      </c>
      <c r="D47" t="s">
        <v>34</v>
      </c>
      <c r="E47" t="s">
        <v>39</v>
      </c>
      <c r="F47">
        <v>1</v>
      </c>
      <c r="G47">
        <v>499</v>
      </c>
      <c r="H47">
        <v>0.2</v>
      </c>
      <c r="I47" t="s">
        <v>36</v>
      </c>
      <c r="J47" t="s">
        <v>16</v>
      </c>
      <c r="K47" t="s">
        <v>17</v>
      </c>
      <c r="L47">
        <v>99.799999999999955</v>
      </c>
      <c r="M47">
        <v>499</v>
      </c>
      <c r="N47">
        <v>399.20000000000005</v>
      </c>
      <c r="O47">
        <v>399.20000000000005</v>
      </c>
    </row>
    <row r="48" spans="1:15" x14ac:dyDescent="0.3">
      <c r="A48" t="s">
        <v>129</v>
      </c>
      <c r="B48" s="1">
        <v>46040</v>
      </c>
      <c r="C48" t="s">
        <v>130</v>
      </c>
      <c r="D48" t="s">
        <v>29</v>
      </c>
      <c r="E48" t="s">
        <v>46</v>
      </c>
      <c r="F48">
        <v>2</v>
      </c>
      <c r="G48">
        <v>199</v>
      </c>
      <c r="H48">
        <v>0</v>
      </c>
      <c r="I48" t="s">
        <v>22</v>
      </c>
      <c r="J48" t="s">
        <v>16</v>
      </c>
      <c r="K48" t="s">
        <v>17</v>
      </c>
      <c r="L48">
        <v>0</v>
      </c>
      <c r="M48">
        <v>398</v>
      </c>
      <c r="N48">
        <v>398</v>
      </c>
      <c r="O48">
        <v>398</v>
      </c>
    </row>
    <row r="49" spans="1:15" x14ac:dyDescent="0.3">
      <c r="A49" t="s">
        <v>131</v>
      </c>
      <c r="B49" s="1">
        <v>46040</v>
      </c>
      <c r="C49" t="s">
        <v>132</v>
      </c>
      <c r="D49" t="s">
        <v>20</v>
      </c>
      <c r="E49" t="s">
        <v>21</v>
      </c>
      <c r="F49">
        <v>3</v>
      </c>
      <c r="G49">
        <v>1299</v>
      </c>
      <c r="H49">
        <v>0.05</v>
      </c>
      <c r="I49" t="s">
        <v>15</v>
      </c>
      <c r="J49" t="s">
        <v>23</v>
      </c>
      <c r="K49" t="s">
        <v>24</v>
      </c>
      <c r="L49">
        <v>194.85000000000036</v>
      </c>
      <c r="M49">
        <v>3897</v>
      </c>
      <c r="N49">
        <v>3702.1499999999996</v>
      </c>
      <c r="O49">
        <v>0</v>
      </c>
    </row>
    <row r="50" spans="1:15" x14ac:dyDescent="0.3">
      <c r="A50" t="s">
        <v>133</v>
      </c>
      <c r="B50" s="1">
        <v>46040</v>
      </c>
      <c r="C50" t="s">
        <v>95</v>
      </c>
      <c r="D50" t="s">
        <v>34</v>
      </c>
      <c r="E50" t="s">
        <v>39</v>
      </c>
      <c r="F50">
        <v>3</v>
      </c>
      <c r="G50">
        <v>499</v>
      </c>
      <c r="H50">
        <v>0</v>
      </c>
      <c r="I50" t="s">
        <v>40</v>
      </c>
      <c r="J50" t="s">
        <v>31</v>
      </c>
      <c r="K50" t="s">
        <v>17</v>
      </c>
      <c r="L50">
        <v>0</v>
      </c>
      <c r="M50">
        <v>1497</v>
      </c>
      <c r="N50">
        <v>1497</v>
      </c>
      <c r="O50">
        <v>1497</v>
      </c>
    </row>
    <row r="51" spans="1:15" x14ac:dyDescent="0.3">
      <c r="A51" t="s">
        <v>134</v>
      </c>
      <c r="B51" s="1">
        <v>46040</v>
      </c>
      <c r="C51" t="s">
        <v>135</v>
      </c>
      <c r="D51" t="s">
        <v>29</v>
      </c>
      <c r="E51" t="s">
        <v>77</v>
      </c>
      <c r="F51">
        <v>2</v>
      </c>
      <c r="G51">
        <v>399</v>
      </c>
      <c r="H51">
        <v>0.2</v>
      </c>
      <c r="I51" t="s">
        <v>22</v>
      </c>
      <c r="J51" t="s">
        <v>47</v>
      </c>
      <c r="K51" t="s">
        <v>24</v>
      </c>
      <c r="L51">
        <v>159.59999999999991</v>
      </c>
      <c r="M51">
        <v>798</v>
      </c>
      <c r="N51">
        <v>638.40000000000009</v>
      </c>
      <c r="O51">
        <v>0</v>
      </c>
    </row>
    <row r="52" spans="1:15" x14ac:dyDescent="0.3">
      <c r="A52" t="s">
        <v>136</v>
      </c>
      <c r="B52" s="1">
        <v>46041</v>
      </c>
      <c r="C52" t="s">
        <v>137</v>
      </c>
      <c r="D52" t="s">
        <v>13</v>
      </c>
      <c r="E52" t="s">
        <v>125</v>
      </c>
      <c r="F52">
        <v>2</v>
      </c>
      <c r="G52">
        <v>1199</v>
      </c>
      <c r="H52">
        <v>0.2</v>
      </c>
      <c r="I52" t="s">
        <v>22</v>
      </c>
      <c r="J52" t="s">
        <v>16</v>
      </c>
      <c r="K52" t="s">
        <v>50</v>
      </c>
      <c r="L52">
        <v>479.59999999999991</v>
      </c>
      <c r="M52">
        <v>2398</v>
      </c>
      <c r="N52">
        <v>1918.4</v>
      </c>
      <c r="O52">
        <v>0</v>
      </c>
    </row>
    <row r="53" spans="1:15" x14ac:dyDescent="0.3">
      <c r="A53" t="s">
        <v>138</v>
      </c>
      <c r="B53" s="1">
        <v>46042</v>
      </c>
      <c r="C53" t="s">
        <v>139</v>
      </c>
      <c r="D53" t="s">
        <v>13</v>
      </c>
      <c r="E53" t="s">
        <v>69</v>
      </c>
      <c r="F53">
        <v>1</v>
      </c>
      <c r="G53">
        <v>299</v>
      </c>
      <c r="H53">
        <v>0.15</v>
      </c>
      <c r="I53" t="s">
        <v>36</v>
      </c>
      <c r="J53" t="s">
        <v>47</v>
      </c>
      <c r="K53" t="s">
        <v>17</v>
      </c>
      <c r="L53">
        <v>44.849999999999994</v>
      </c>
      <c r="M53">
        <v>299</v>
      </c>
      <c r="N53">
        <v>254.15</v>
      </c>
      <c r="O53">
        <v>254.15</v>
      </c>
    </row>
    <row r="54" spans="1:15" x14ac:dyDescent="0.3">
      <c r="A54" t="s">
        <v>140</v>
      </c>
      <c r="B54" s="1">
        <v>46042</v>
      </c>
      <c r="C54" t="s">
        <v>141</v>
      </c>
      <c r="D54" t="s">
        <v>20</v>
      </c>
      <c r="E54" t="s">
        <v>82</v>
      </c>
      <c r="F54">
        <v>2</v>
      </c>
      <c r="G54">
        <v>2299</v>
      </c>
      <c r="H54">
        <v>0.15</v>
      </c>
      <c r="I54" t="s">
        <v>22</v>
      </c>
      <c r="J54" t="s">
        <v>47</v>
      </c>
      <c r="K54" t="s">
        <v>17</v>
      </c>
      <c r="L54">
        <v>689.70000000000027</v>
      </c>
      <c r="M54">
        <v>4598</v>
      </c>
      <c r="N54">
        <v>3908.2999999999997</v>
      </c>
      <c r="O54">
        <v>3908.2999999999997</v>
      </c>
    </row>
    <row r="55" spans="1:15" x14ac:dyDescent="0.3">
      <c r="A55" t="s">
        <v>142</v>
      </c>
      <c r="B55" s="1">
        <v>46042</v>
      </c>
      <c r="C55" t="s">
        <v>141</v>
      </c>
      <c r="D55" t="s">
        <v>29</v>
      </c>
      <c r="E55" t="s">
        <v>85</v>
      </c>
      <c r="F55">
        <v>1</v>
      </c>
      <c r="G55">
        <v>299</v>
      </c>
      <c r="H55">
        <v>0</v>
      </c>
      <c r="I55" t="s">
        <v>15</v>
      </c>
      <c r="J55" t="s">
        <v>58</v>
      </c>
      <c r="K55" t="s">
        <v>24</v>
      </c>
      <c r="L55">
        <v>0</v>
      </c>
      <c r="M55">
        <v>299</v>
      </c>
      <c r="N55">
        <v>299</v>
      </c>
      <c r="O55">
        <v>0</v>
      </c>
    </row>
    <row r="56" spans="1:15" x14ac:dyDescent="0.3">
      <c r="A56" t="s">
        <v>143</v>
      </c>
      <c r="B56" s="1">
        <v>46043</v>
      </c>
      <c r="C56" t="s">
        <v>144</v>
      </c>
      <c r="D56" t="s">
        <v>20</v>
      </c>
      <c r="E56" t="s">
        <v>72</v>
      </c>
      <c r="F56">
        <v>2</v>
      </c>
      <c r="G56">
        <v>1799</v>
      </c>
      <c r="H56">
        <v>0.05</v>
      </c>
      <c r="I56" t="s">
        <v>36</v>
      </c>
      <c r="J56" t="s">
        <v>23</v>
      </c>
      <c r="K56" t="s">
        <v>24</v>
      </c>
      <c r="L56">
        <v>179.90000000000009</v>
      </c>
      <c r="M56">
        <v>3598</v>
      </c>
      <c r="N56">
        <v>3418.1</v>
      </c>
      <c r="O56">
        <v>0</v>
      </c>
    </row>
    <row r="57" spans="1:15" x14ac:dyDescent="0.3">
      <c r="A57" t="s">
        <v>145</v>
      </c>
      <c r="B57" s="1">
        <v>46043</v>
      </c>
      <c r="C57" t="s">
        <v>146</v>
      </c>
      <c r="D57" t="s">
        <v>20</v>
      </c>
      <c r="E57" t="s">
        <v>66</v>
      </c>
      <c r="F57">
        <v>2</v>
      </c>
      <c r="G57">
        <v>799</v>
      </c>
      <c r="H57">
        <v>0</v>
      </c>
      <c r="I57" t="s">
        <v>22</v>
      </c>
      <c r="J57" t="s">
        <v>58</v>
      </c>
      <c r="K57" t="s">
        <v>50</v>
      </c>
      <c r="L57">
        <v>0</v>
      </c>
      <c r="M57">
        <v>1598</v>
      </c>
      <c r="N57">
        <v>1598</v>
      </c>
      <c r="O57">
        <v>0</v>
      </c>
    </row>
    <row r="58" spans="1:15" x14ac:dyDescent="0.3">
      <c r="A58" t="s">
        <v>147</v>
      </c>
      <c r="B58" s="1">
        <v>46043</v>
      </c>
      <c r="C58" t="s">
        <v>148</v>
      </c>
      <c r="D58" t="s">
        <v>34</v>
      </c>
      <c r="E58" t="s">
        <v>63</v>
      </c>
      <c r="F58">
        <v>1</v>
      </c>
      <c r="G58">
        <v>599</v>
      </c>
      <c r="H58">
        <v>0</v>
      </c>
      <c r="I58" t="s">
        <v>15</v>
      </c>
      <c r="J58" t="s">
        <v>23</v>
      </c>
      <c r="K58" t="s">
        <v>17</v>
      </c>
      <c r="L58">
        <v>0</v>
      </c>
      <c r="M58">
        <v>599</v>
      </c>
      <c r="N58">
        <v>599</v>
      </c>
      <c r="O58">
        <v>599</v>
      </c>
    </row>
    <row r="59" spans="1:15" x14ac:dyDescent="0.3">
      <c r="A59" t="s">
        <v>149</v>
      </c>
      <c r="B59" s="1">
        <v>46043</v>
      </c>
      <c r="C59" t="s">
        <v>150</v>
      </c>
      <c r="D59" t="s">
        <v>34</v>
      </c>
      <c r="E59" t="s">
        <v>39</v>
      </c>
      <c r="F59">
        <v>1</v>
      </c>
      <c r="G59">
        <v>499</v>
      </c>
      <c r="H59">
        <v>0.05</v>
      </c>
      <c r="I59" t="s">
        <v>36</v>
      </c>
      <c r="J59" t="s">
        <v>23</v>
      </c>
      <c r="K59" t="s">
        <v>17</v>
      </c>
      <c r="L59">
        <v>24.950000000000045</v>
      </c>
      <c r="M59">
        <v>499</v>
      </c>
      <c r="N59">
        <v>474.04999999999995</v>
      </c>
      <c r="O59">
        <v>474.04999999999995</v>
      </c>
    </row>
    <row r="60" spans="1:15" x14ac:dyDescent="0.3">
      <c r="A60" t="s">
        <v>151</v>
      </c>
      <c r="B60" s="1">
        <v>46043</v>
      </c>
      <c r="C60" t="s">
        <v>152</v>
      </c>
      <c r="D60" t="s">
        <v>34</v>
      </c>
      <c r="E60" t="s">
        <v>108</v>
      </c>
      <c r="F60">
        <v>1</v>
      </c>
      <c r="G60">
        <v>1599</v>
      </c>
      <c r="H60">
        <v>0.2</v>
      </c>
      <c r="I60" t="s">
        <v>36</v>
      </c>
      <c r="J60" t="s">
        <v>58</v>
      </c>
      <c r="K60" t="s">
        <v>50</v>
      </c>
      <c r="L60">
        <v>319.79999999999995</v>
      </c>
      <c r="M60">
        <v>1599</v>
      </c>
      <c r="N60">
        <v>1279.2</v>
      </c>
      <c r="O60">
        <v>0</v>
      </c>
    </row>
    <row r="61" spans="1:15" x14ac:dyDescent="0.3">
      <c r="A61" t="s">
        <v>153</v>
      </c>
      <c r="B61" s="1">
        <v>46043</v>
      </c>
      <c r="C61" t="s">
        <v>68</v>
      </c>
      <c r="D61" t="s">
        <v>29</v>
      </c>
      <c r="E61" t="s">
        <v>77</v>
      </c>
      <c r="F61">
        <v>2</v>
      </c>
      <c r="G61">
        <v>399</v>
      </c>
      <c r="H61">
        <v>0.05</v>
      </c>
      <c r="I61" t="s">
        <v>15</v>
      </c>
      <c r="J61" t="s">
        <v>47</v>
      </c>
      <c r="K61" t="s">
        <v>50</v>
      </c>
      <c r="L61">
        <v>39.900000000000091</v>
      </c>
      <c r="M61">
        <v>798</v>
      </c>
      <c r="N61">
        <v>758.09999999999991</v>
      </c>
      <c r="O61">
        <v>0</v>
      </c>
    </row>
    <row r="62" spans="1:15" x14ac:dyDescent="0.3">
      <c r="A62" t="s">
        <v>154</v>
      </c>
      <c r="B62" s="1">
        <v>46043</v>
      </c>
      <c r="C62" t="s">
        <v>90</v>
      </c>
      <c r="D62" t="s">
        <v>20</v>
      </c>
      <c r="E62" t="s">
        <v>21</v>
      </c>
      <c r="F62">
        <v>1</v>
      </c>
      <c r="G62">
        <v>1299</v>
      </c>
      <c r="H62">
        <v>0.15</v>
      </c>
      <c r="I62" t="s">
        <v>36</v>
      </c>
      <c r="J62" t="s">
        <v>16</v>
      </c>
      <c r="K62" t="s">
        <v>17</v>
      </c>
      <c r="L62">
        <v>194.85000000000014</v>
      </c>
      <c r="M62">
        <v>1299</v>
      </c>
      <c r="N62">
        <v>1104.1499999999999</v>
      </c>
      <c r="O62">
        <v>1104.1499999999999</v>
      </c>
    </row>
    <row r="63" spans="1:15" x14ac:dyDescent="0.3">
      <c r="A63" t="s">
        <v>155</v>
      </c>
      <c r="B63" s="1">
        <v>46044</v>
      </c>
      <c r="C63" t="s">
        <v>44</v>
      </c>
      <c r="D63" t="s">
        <v>34</v>
      </c>
      <c r="E63" t="s">
        <v>53</v>
      </c>
      <c r="F63">
        <v>1</v>
      </c>
      <c r="G63">
        <v>899</v>
      </c>
      <c r="H63">
        <v>0.15</v>
      </c>
      <c r="I63" t="s">
        <v>36</v>
      </c>
      <c r="J63" t="s">
        <v>16</v>
      </c>
      <c r="K63" t="s">
        <v>24</v>
      </c>
      <c r="L63">
        <v>134.85000000000002</v>
      </c>
      <c r="M63">
        <v>899</v>
      </c>
      <c r="N63">
        <v>764.15</v>
      </c>
      <c r="O63">
        <v>0</v>
      </c>
    </row>
    <row r="64" spans="1:15" x14ac:dyDescent="0.3">
      <c r="A64" t="s">
        <v>156</v>
      </c>
      <c r="B64" s="1">
        <v>46044</v>
      </c>
      <c r="C64" t="s">
        <v>124</v>
      </c>
      <c r="D64" t="s">
        <v>13</v>
      </c>
      <c r="E64" t="s">
        <v>14</v>
      </c>
      <c r="F64">
        <v>1</v>
      </c>
      <c r="G64">
        <v>499</v>
      </c>
      <c r="H64">
        <v>0.1</v>
      </c>
      <c r="I64" t="s">
        <v>15</v>
      </c>
      <c r="J64" t="s">
        <v>16</v>
      </c>
      <c r="K64" t="s">
        <v>17</v>
      </c>
      <c r="L64">
        <v>49.899999999999977</v>
      </c>
      <c r="M64">
        <v>499</v>
      </c>
      <c r="N64">
        <v>449.1</v>
      </c>
      <c r="O64">
        <v>449.1</v>
      </c>
    </row>
    <row r="65" spans="1:15" x14ac:dyDescent="0.3">
      <c r="A65" t="s">
        <v>157</v>
      </c>
      <c r="B65" s="1">
        <v>46044</v>
      </c>
      <c r="C65" t="s">
        <v>92</v>
      </c>
      <c r="D65" t="s">
        <v>20</v>
      </c>
      <c r="E65" t="s">
        <v>98</v>
      </c>
      <c r="F65">
        <v>2</v>
      </c>
      <c r="G65">
        <v>999</v>
      </c>
      <c r="H65">
        <v>0.15</v>
      </c>
      <c r="I65" t="s">
        <v>40</v>
      </c>
      <c r="J65" t="s">
        <v>16</v>
      </c>
      <c r="K65" t="s">
        <v>24</v>
      </c>
      <c r="L65">
        <v>299.70000000000005</v>
      </c>
      <c r="M65">
        <v>1998</v>
      </c>
      <c r="N65">
        <v>1698.3</v>
      </c>
      <c r="O65">
        <v>0</v>
      </c>
    </row>
    <row r="66" spans="1:15" x14ac:dyDescent="0.3">
      <c r="A66" t="s">
        <v>158</v>
      </c>
      <c r="B66" s="1">
        <v>46045</v>
      </c>
      <c r="C66" t="s">
        <v>159</v>
      </c>
      <c r="D66" t="s">
        <v>20</v>
      </c>
      <c r="E66" t="s">
        <v>98</v>
      </c>
      <c r="F66">
        <v>3</v>
      </c>
      <c r="G66">
        <v>999</v>
      </c>
      <c r="H66">
        <v>0.05</v>
      </c>
      <c r="I66" t="s">
        <v>15</v>
      </c>
      <c r="J66" t="s">
        <v>16</v>
      </c>
      <c r="K66" t="s">
        <v>50</v>
      </c>
      <c r="L66">
        <v>149.84999999999991</v>
      </c>
      <c r="M66">
        <v>2997</v>
      </c>
      <c r="N66">
        <v>2847.15</v>
      </c>
      <c r="O66">
        <v>0</v>
      </c>
    </row>
    <row r="67" spans="1:15" x14ac:dyDescent="0.3">
      <c r="A67" t="s">
        <v>160</v>
      </c>
      <c r="B67" s="1">
        <v>46046</v>
      </c>
      <c r="C67" t="s">
        <v>161</v>
      </c>
      <c r="D67" t="s">
        <v>20</v>
      </c>
      <c r="E67" t="s">
        <v>66</v>
      </c>
      <c r="F67">
        <v>1</v>
      </c>
      <c r="G67">
        <v>799</v>
      </c>
      <c r="H67">
        <v>0</v>
      </c>
      <c r="I67" t="s">
        <v>36</v>
      </c>
      <c r="J67" t="s">
        <v>47</v>
      </c>
      <c r="K67" t="s">
        <v>50</v>
      </c>
      <c r="L67">
        <v>0</v>
      </c>
      <c r="M67">
        <v>799</v>
      </c>
      <c r="N67">
        <v>799</v>
      </c>
      <c r="O67">
        <v>0</v>
      </c>
    </row>
    <row r="68" spans="1:15" x14ac:dyDescent="0.3">
      <c r="A68" t="s">
        <v>162</v>
      </c>
      <c r="B68" s="1">
        <v>46046</v>
      </c>
      <c r="C68" t="s">
        <v>119</v>
      </c>
      <c r="D68" t="s">
        <v>20</v>
      </c>
      <c r="E68" t="s">
        <v>98</v>
      </c>
      <c r="F68">
        <v>2</v>
      </c>
      <c r="G68">
        <v>999</v>
      </c>
      <c r="H68">
        <v>0.1</v>
      </c>
      <c r="I68" t="s">
        <v>15</v>
      </c>
      <c r="J68" t="s">
        <v>16</v>
      </c>
      <c r="K68" t="s">
        <v>17</v>
      </c>
      <c r="L68">
        <v>199.79999999999995</v>
      </c>
      <c r="M68">
        <v>1998</v>
      </c>
      <c r="N68">
        <v>1798.2</v>
      </c>
      <c r="O68">
        <v>1798.2</v>
      </c>
    </row>
    <row r="69" spans="1:15" x14ac:dyDescent="0.3">
      <c r="A69" t="s">
        <v>163</v>
      </c>
      <c r="B69" s="1">
        <v>46046</v>
      </c>
      <c r="C69" t="s">
        <v>164</v>
      </c>
      <c r="D69" t="s">
        <v>20</v>
      </c>
      <c r="E69" t="s">
        <v>98</v>
      </c>
      <c r="F69">
        <v>1</v>
      </c>
      <c r="G69">
        <v>999</v>
      </c>
      <c r="H69">
        <v>0.15</v>
      </c>
      <c r="I69" t="s">
        <v>40</v>
      </c>
      <c r="J69" t="s">
        <v>58</v>
      </c>
      <c r="K69" t="s">
        <v>24</v>
      </c>
      <c r="L69">
        <v>149.85000000000002</v>
      </c>
      <c r="M69">
        <v>999</v>
      </c>
      <c r="N69">
        <v>849.15</v>
      </c>
      <c r="O69">
        <v>0</v>
      </c>
    </row>
    <row r="70" spans="1:15" x14ac:dyDescent="0.3">
      <c r="A70" t="s">
        <v>165</v>
      </c>
      <c r="B70" s="1">
        <v>46047</v>
      </c>
      <c r="C70" t="s">
        <v>166</v>
      </c>
      <c r="D70" t="s">
        <v>29</v>
      </c>
      <c r="E70" t="s">
        <v>85</v>
      </c>
      <c r="F70">
        <v>2</v>
      </c>
      <c r="G70">
        <v>299</v>
      </c>
      <c r="H70">
        <v>0</v>
      </c>
      <c r="I70" t="s">
        <v>36</v>
      </c>
      <c r="J70" t="s">
        <v>16</v>
      </c>
      <c r="K70" t="s">
        <v>17</v>
      </c>
      <c r="L70">
        <v>0</v>
      </c>
      <c r="M70">
        <v>598</v>
      </c>
      <c r="N70">
        <v>598</v>
      </c>
      <c r="O70">
        <v>598</v>
      </c>
    </row>
    <row r="71" spans="1:15" x14ac:dyDescent="0.3">
      <c r="A71" t="s">
        <v>167</v>
      </c>
      <c r="B71" s="1">
        <v>46047</v>
      </c>
      <c r="C71" t="s">
        <v>168</v>
      </c>
      <c r="D71" t="s">
        <v>34</v>
      </c>
      <c r="E71" t="s">
        <v>108</v>
      </c>
      <c r="F71">
        <v>4</v>
      </c>
      <c r="G71">
        <v>1599</v>
      </c>
      <c r="H71">
        <v>0.2</v>
      </c>
      <c r="I71" t="s">
        <v>36</v>
      </c>
      <c r="J71" t="s">
        <v>58</v>
      </c>
      <c r="K71" t="s">
        <v>17</v>
      </c>
      <c r="L71">
        <v>1279.1999999999998</v>
      </c>
      <c r="M71">
        <v>6396</v>
      </c>
      <c r="N71">
        <v>5116.8</v>
      </c>
      <c r="O71">
        <v>5116.8</v>
      </c>
    </row>
    <row r="72" spans="1:15" x14ac:dyDescent="0.3">
      <c r="A72" t="s">
        <v>169</v>
      </c>
      <c r="B72" s="1">
        <v>46047</v>
      </c>
      <c r="C72" t="s">
        <v>159</v>
      </c>
      <c r="D72" t="s">
        <v>29</v>
      </c>
      <c r="E72" t="s">
        <v>122</v>
      </c>
      <c r="F72">
        <v>1</v>
      </c>
      <c r="G72">
        <v>249</v>
      </c>
      <c r="H72">
        <v>0.1</v>
      </c>
      <c r="I72" t="s">
        <v>40</v>
      </c>
      <c r="J72" t="s">
        <v>23</v>
      </c>
      <c r="K72" t="s">
        <v>17</v>
      </c>
      <c r="L72">
        <v>24.900000000000006</v>
      </c>
      <c r="M72">
        <v>249</v>
      </c>
      <c r="N72">
        <v>224.1</v>
      </c>
      <c r="O72">
        <v>224.1</v>
      </c>
    </row>
    <row r="73" spans="1:15" x14ac:dyDescent="0.3">
      <c r="A73" t="s">
        <v>170</v>
      </c>
      <c r="B73" s="1">
        <v>46048</v>
      </c>
      <c r="C73" t="s">
        <v>112</v>
      </c>
      <c r="D73" t="s">
        <v>29</v>
      </c>
      <c r="E73" t="s">
        <v>122</v>
      </c>
      <c r="F73">
        <v>1</v>
      </c>
      <c r="G73">
        <v>249</v>
      </c>
      <c r="H73">
        <v>0.05</v>
      </c>
      <c r="I73" t="s">
        <v>36</v>
      </c>
      <c r="J73" t="s">
        <v>58</v>
      </c>
      <c r="K73" t="s">
        <v>17</v>
      </c>
      <c r="L73">
        <v>12.450000000000017</v>
      </c>
      <c r="M73">
        <v>249</v>
      </c>
      <c r="N73">
        <v>236.54999999999998</v>
      </c>
      <c r="O73">
        <v>236.54999999999998</v>
      </c>
    </row>
    <row r="74" spans="1:15" x14ac:dyDescent="0.3">
      <c r="A74" t="s">
        <v>171</v>
      </c>
      <c r="B74" s="1">
        <v>46048</v>
      </c>
      <c r="C74" t="s">
        <v>44</v>
      </c>
      <c r="D74" t="s">
        <v>13</v>
      </c>
      <c r="E74" t="s">
        <v>14</v>
      </c>
      <c r="F74">
        <v>3</v>
      </c>
      <c r="G74">
        <v>499</v>
      </c>
      <c r="H74">
        <v>0.2</v>
      </c>
      <c r="I74" t="s">
        <v>40</v>
      </c>
      <c r="J74" t="s">
        <v>47</v>
      </c>
      <c r="K74" t="s">
        <v>24</v>
      </c>
      <c r="L74">
        <v>299.39999999999986</v>
      </c>
      <c r="M74">
        <v>1497</v>
      </c>
      <c r="N74">
        <v>1197.6000000000001</v>
      </c>
      <c r="O74">
        <v>0</v>
      </c>
    </row>
    <row r="75" spans="1:15" x14ac:dyDescent="0.3">
      <c r="A75" t="s">
        <v>172</v>
      </c>
      <c r="B75" s="1">
        <v>46048</v>
      </c>
      <c r="C75" t="s">
        <v>173</v>
      </c>
      <c r="D75" t="s">
        <v>13</v>
      </c>
      <c r="E75" t="s">
        <v>69</v>
      </c>
      <c r="F75">
        <v>2</v>
      </c>
      <c r="G75">
        <v>299</v>
      </c>
      <c r="H75">
        <v>0.05</v>
      </c>
      <c r="I75" t="s">
        <v>15</v>
      </c>
      <c r="J75" t="s">
        <v>31</v>
      </c>
      <c r="K75" t="s">
        <v>17</v>
      </c>
      <c r="L75">
        <v>29.899999999999977</v>
      </c>
      <c r="M75">
        <v>598</v>
      </c>
      <c r="N75">
        <v>568.1</v>
      </c>
      <c r="O75">
        <v>568.1</v>
      </c>
    </row>
    <row r="76" spans="1:15" x14ac:dyDescent="0.3">
      <c r="A76" t="s">
        <v>174</v>
      </c>
      <c r="B76" s="1">
        <v>46048</v>
      </c>
      <c r="C76" t="s">
        <v>175</v>
      </c>
      <c r="D76" t="s">
        <v>34</v>
      </c>
      <c r="E76" t="s">
        <v>35</v>
      </c>
      <c r="F76">
        <v>5</v>
      </c>
      <c r="G76">
        <v>6499</v>
      </c>
      <c r="H76">
        <v>0.15</v>
      </c>
      <c r="I76" t="s">
        <v>22</v>
      </c>
      <c r="J76" t="s">
        <v>47</v>
      </c>
      <c r="K76" t="s">
        <v>17</v>
      </c>
      <c r="L76">
        <v>4874.25</v>
      </c>
      <c r="M76">
        <v>32495</v>
      </c>
      <c r="N76">
        <v>27620.75</v>
      </c>
      <c r="O76">
        <v>27620.75</v>
      </c>
    </row>
    <row r="77" spans="1:15" x14ac:dyDescent="0.3">
      <c r="A77" t="s">
        <v>176</v>
      </c>
      <c r="B77" s="1">
        <v>46049</v>
      </c>
      <c r="C77" t="s">
        <v>177</v>
      </c>
      <c r="D77" t="s">
        <v>13</v>
      </c>
      <c r="E77" t="s">
        <v>14</v>
      </c>
      <c r="F77">
        <v>1</v>
      </c>
      <c r="G77">
        <v>499</v>
      </c>
      <c r="H77">
        <v>0.15</v>
      </c>
      <c r="I77" t="s">
        <v>40</v>
      </c>
      <c r="J77" t="s">
        <v>23</v>
      </c>
      <c r="K77" t="s">
        <v>17</v>
      </c>
      <c r="L77">
        <v>74.850000000000023</v>
      </c>
      <c r="M77">
        <v>499</v>
      </c>
      <c r="N77">
        <v>424.15</v>
      </c>
      <c r="O77">
        <v>424.15</v>
      </c>
    </row>
    <row r="78" spans="1:15" x14ac:dyDescent="0.3">
      <c r="A78" t="s">
        <v>178</v>
      </c>
      <c r="B78" s="1">
        <v>46049</v>
      </c>
      <c r="C78" t="s">
        <v>148</v>
      </c>
      <c r="D78" t="s">
        <v>29</v>
      </c>
      <c r="E78" t="s">
        <v>46</v>
      </c>
      <c r="F78">
        <v>1</v>
      </c>
      <c r="G78">
        <v>199</v>
      </c>
      <c r="H78">
        <v>0.15</v>
      </c>
      <c r="I78" t="s">
        <v>22</v>
      </c>
      <c r="J78" t="s">
        <v>31</v>
      </c>
      <c r="K78" t="s">
        <v>24</v>
      </c>
      <c r="L78">
        <v>29.849999999999994</v>
      </c>
      <c r="M78">
        <v>199</v>
      </c>
      <c r="N78">
        <v>169.15</v>
      </c>
      <c r="O78">
        <v>0</v>
      </c>
    </row>
    <row r="79" spans="1:15" x14ac:dyDescent="0.3">
      <c r="A79" t="s">
        <v>179</v>
      </c>
      <c r="B79" s="1">
        <v>46049</v>
      </c>
      <c r="C79" t="s">
        <v>65</v>
      </c>
      <c r="D79" t="s">
        <v>29</v>
      </c>
      <c r="E79" t="s">
        <v>30</v>
      </c>
      <c r="F79">
        <v>4</v>
      </c>
      <c r="G79">
        <v>349</v>
      </c>
      <c r="H79">
        <v>0</v>
      </c>
      <c r="I79" t="s">
        <v>40</v>
      </c>
      <c r="J79" t="s">
        <v>58</v>
      </c>
      <c r="K79" t="s">
        <v>17</v>
      </c>
      <c r="L79">
        <v>0</v>
      </c>
      <c r="M79">
        <v>1396</v>
      </c>
      <c r="N79">
        <v>1396</v>
      </c>
      <c r="O79">
        <v>1396</v>
      </c>
    </row>
    <row r="80" spans="1:15" x14ac:dyDescent="0.3">
      <c r="A80" t="s">
        <v>180</v>
      </c>
      <c r="B80" s="1">
        <v>46049</v>
      </c>
      <c r="C80" t="s">
        <v>26</v>
      </c>
      <c r="D80" t="s">
        <v>34</v>
      </c>
      <c r="E80" t="s">
        <v>53</v>
      </c>
      <c r="F80">
        <v>1</v>
      </c>
      <c r="G80">
        <v>899</v>
      </c>
      <c r="H80">
        <v>0.05</v>
      </c>
      <c r="I80" t="s">
        <v>36</v>
      </c>
      <c r="J80" t="s">
        <v>23</v>
      </c>
      <c r="K80" t="s">
        <v>17</v>
      </c>
      <c r="L80">
        <v>44.950000000000045</v>
      </c>
      <c r="M80">
        <v>899</v>
      </c>
      <c r="N80">
        <v>854.05</v>
      </c>
      <c r="O80">
        <v>854.05</v>
      </c>
    </row>
    <row r="81" spans="1:15" x14ac:dyDescent="0.3">
      <c r="A81" t="s">
        <v>181</v>
      </c>
      <c r="B81" s="1">
        <v>46049</v>
      </c>
      <c r="C81" t="s">
        <v>182</v>
      </c>
      <c r="D81" t="s">
        <v>20</v>
      </c>
      <c r="E81" t="s">
        <v>98</v>
      </c>
      <c r="F81">
        <v>1</v>
      </c>
      <c r="G81">
        <v>999</v>
      </c>
      <c r="H81">
        <v>0.05</v>
      </c>
      <c r="I81" t="s">
        <v>15</v>
      </c>
      <c r="J81" t="s">
        <v>58</v>
      </c>
      <c r="K81" t="s">
        <v>17</v>
      </c>
      <c r="L81">
        <v>49.950000000000045</v>
      </c>
      <c r="M81">
        <v>999</v>
      </c>
      <c r="N81">
        <v>949.05</v>
      </c>
      <c r="O81">
        <v>949.05</v>
      </c>
    </row>
    <row r="82" spans="1:15" x14ac:dyDescent="0.3">
      <c r="A82" t="s">
        <v>183</v>
      </c>
      <c r="B82" s="1">
        <v>46050</v>
      </c>
      <c r="C82" t="s">
        <v>184</v>
      </c>
      <c r="D82" t="s">
        <v>13</v>
      </c>
      <c r="E82" t="s">
        <v>14</v>
      </c>
      <c r="F82">
        <v>1</v>
      </c>
      <c r="G82">
        <v>499</v>
      </c>
      <c r="H82">
        <v>0.1</v>
      </c>
      <c r="I82" t="s">
        <v>15</v>
      </c>
      <c r="J82" t="s">
        <v>47</v>
      </c>
      <c r="K82" t="s">
        <v>17</v>
      </c>
      <c r="L82">
        <v>49.899999999999977</v>
      </c>
      <c r="M82">
        <v>499</v>
      </c>
      <c r="N82">
        <v>449.1</v>
      </c>
      <c r="O82">
        <v>449.1</v>
      </c>
    </row>
    <row r="83" spans="1:15" x14ac:dyDescent="0.3">
      <c r="A83" t="s">
        <v>185</v>
      </c>
      <c r="B83" s="1">
        <v>46050</v>
      </c>
      <c r="C83" t="s">
        <v>92</v>
      </c>
      <c r="D83" t="s">
        <v>20</v>
      </c>
      <c r="E83" t="s">
        <v>66</v>
      </c>
      <c r="F83">
        <v>4</v>
      </c>
      <c r="G83">
        <v>799</v>
      </c>
      <c r="H83">
        <v>0.2</v>
      </c>
      <c r="I83" t="s">
        <v>36</v>
      </c>
      <c r="J83" t="s">
        <v>31</v>
      </c>
      <c r="K83" t="s">
        <v>50</v>
      </c>
      <c r="L83">
        <v>639.19999999999982</v>
      </c>
      <c r="M83">
        <v>3196</v>
      </c>
      <c r="N83">
        <v>2556.8000000000002</v>
      </c>
      <c r="O83">
        <v>0</v>
      </c>
    </row>
    <row r="84" spans="1:15" x14ac:dyDescent="0.3">
      <c r="A84" t="s">
        <v>186</v>
      </c>
      <c r="B84" s="1">
        <v>46050</v>
      </c>
      <c r="C84" t="s">
        <v>139</v>
      </c>
      <c r="D84" t="s">
        <v>34</v>
      </c>
      <c r="E84" t="s">
        <v>63</v>
      </c>
      <c r="F84">
        <v>2</v>
      </c>
      <c r="G84">
        <v>599</v>
      </c>
      <c r="H84">
        <v>0.1</v>
      </c>
      <c r="I84" t="s">
        <v>36</v>
      </c>
      <c r="J84" t="s">
        <v>58</v>
      </c>
      <c r="K84" t="s">
        <v>17</v>
      </c>
      <c r="L84">
        <v>119.79999999999995</v>
      </c>
      <c r="M84">
        <v>1198</v>
      </c>
      <c r="N84">
        <v>1078.2</v>
      </c>
      <c r="O84">
        <v>1078.2</v>
      </c>
    </row>
    <row r="85" spans="1:15" x14ac:dyDescent="0.3">
      <c r="A85" t="s">
        <v>187</v>
      </c>
      <c r="B85" s="1">
        <v>46050</v>
      </c>
      <c r="C85" t="s">
        <v>87</v>
      </c>
      <c r="D85" t="s">
        <v>20</v>
      </c>
      <c r="E85" t="s">
        <v>98</v>
      </c>
      <c r="F85">
        <v>1</v>
      </c>
      <c r="G85">
        <v>999</v>
      </c>
      <c r="H85">
        <v>0.2</v>
      </c>
      <c r="I85" t="s">
        <v>15</v>
      </c>
      <c r="J85" t="s">
        <v>31</v>
      </c>
      <c r="K85" t="s">
        <v>17</v>
      </c>
      <c r="L85">
        <v>199.79999999999995</v>
      </c>
      <c r="M85">
        <v>999</v>
      </c>
      <c r="N85">
        <v>799.2</v>
      </c>
      <c r="O85">
        <v>799.2</v>
      </c>
    </row>
    <row r="86" spans="1:15" x14ac:dyDescent="0.3">
      <c r="A86" t="s">
        <v>188</v>
      </c>
      <c r="B86" s="1">
        <v>46050</v>
      </c>
      <c r="C86" t="s">
        <v>189</v>
      </c>
      <c r="D86" t="s">
        <v>20</v>
      </c>
      <c r="E86" t="s">
        <v>98</v>
      </c>
      <c r="F86">
        <v>1</v>
      </c>
      <c r="G86">
        <v>999</v>
      </c>
      <c r="H86">
        <v>0.15</v>
      </c>
      <c r="I86" t="s">
        <v>22</v>
      </c>
      <c r="J86" t="s">
        <v>31</v>
      </c>
      <c r="K86" t="s">
        <v>17</v>
      </c>
      <c r="L86">
        <v>149.85000000000002</v>
      </c>
      <c r="M86">
        <v>999</v>
      </c>
      <c r="N86">
        <v>849.15</v>
      </c>
      <c r="O86">
        <v>849.15</v>
      </c>
    </row>
    <row r="87" spans="1:15" x14ac:dyDescent="0.3">
      <c r="A87" t="s">
        <v>190</v>
      </c>
      <c r="B87" s="1">
        <v>46051</v>
      </c>
      <c r="C87" t="s">
        <v>175</v>
      </c>
      <c r="D87" t="s">
        <v>34</v>
      </c>
      <c r="E87" t="s">
        <v>53</v>
      </c>
      <c r="F87">
        <v>2</v>
      </c>
      <c r="G87">
        <v>899</v>
      </c>
      <c r="H87">
        <v>0.1</v>
      </c>
      <c r="I87" t="s">
        <v>15</v>
      </c>
      <c r="J87" t="s">
        <v>23</v>
      </c>
      <c r="K87" t="s">
        <v>50</v>
      </c>
      <c r="L87">
        <v>179.79999999999995</v>
      </c>
      <c r="M87">
        <v>1798</v>
      </c>
      <c r="N87">
        <v>1618.2</v>
      </c>
      <c r="O87">
        <v>0</v>
      </c>
    </row>
    <row r="88" spans="1:15" x14ac:dyDescent="0.3">
      <c r="A88" t="s">
        <v>191</v>
      </c>
      <c r="B88" s="1">
        <v>46052</v>
      </c>
      <c r="C88" t="s">
        <v>192</v>
      </c>
      <c r="D88" t="s">
        <v>20</v>
      </c>
      <c r="E88" t="s">
        <v>98</v>
      </c>
      <c r="F88">
        <v>2</v>
      </c>
      <c r="G88">
        <v>999</v>
      </c>
      <c r="H88">
        <v>0.05</v>
      </c>
      <c r="I88" t="s">
        <v>36</v>
      </c>
      <c r="J88" t="s">
        <v>47</v>
      </c>
      <c r="K88" t="s">
        <v>24</v>
      </c>
      <c r="L88">
        <v>99.900000000000091</v>
      </c>
      <c r="M88">
        <v>1998</v>
      </c>
      <c r="N88">
        <v>1898.1</v>
      </c>
      <c r="O88">
        <v>0</v>
      </c>
    </row>
    <row r="89" spans="1:15" x14ac:dyDescent="0.3">
      <c r="A89" t="s">
        <v>193</v>
      </c>
      <c r="B89" s="1">
        <v>46052</v>
      </c>
      <c r="C89" t="s">
        <v>194</v>
      </c>
      <c r="D89" t="s">
        <v>34</v>
      </c>
      <c r="E89" t="s">
        <v>53</v>
      </c>
      <c r="F89">
        <v>2</v>
      </c>
      <c r="G89">
        <v>899</v>
      </c>
      <c r="H89">
        <v>0.15</v>
      </c>
      <c r="I89" t="s">
        <v>40</v>
      </c>
      <c r="J89" t="s">
        <v>47</v>
      </c>
      <c r="K89" t="s">
        <v>17</v>
      </c>
      <c r="L89">
        <v>269.70000000000005</v>
      </c>
      <c r="M89">
        <v>1798</v>
      </c>
      <c r="N89">
        <v>1528.3</v>
      </c>
      <c r="O89">
        <v>1528.3</v>
      </c>
    </row>
    <row r="90" spans="1:15" x14ac:dyDescent="0.3">
      <c r="A90" t="s">
        <v>195</v>
      </c>
      <c r="B90" s="1">
        <v>46052</v>
      </c>
      <c r="C90" t="s">
        <v>196</v>
      </c>
      <c r="D90" t="s">
        <v>34</v>
      </c>
      <c r="E90" t="s">
        <v>35</v>
      </c>
      <c r="F90">
        <v>2</v>
      </c>
      <c r="G90">
        <v>6499</v>
      </c>
      <c r="H90">
        <v>0.15</v>
      </c>
      <c r="I90" t="s">
        <v>40</v>
      </c>
      <c r="J90" t="s">
        <v>16</v>
      </c>
      <c r="K90" t="s">
        <v>17</v>
      </c>
      <c r="L90">
        <v>1949.7000000000007</v>
      </c>
      <c r="M90">
        <v>12998</v>
      </c>
      <c r="N90">
        <v>11048.3</v>
      </c>
      <c r="O90">
        <v>11048.3</v>
      </c>
    </row>
    <row r="91" spans="1:15" x14ac:dyDescent="0.3">
      <c r="A91" t="s">
        <v>197</v>
      </c>
      <c r="B91" s="1">
        <v>46053</v>
      </c>
      <c r="C91" t="s">
        <v>127</v>
      </c>
      <c r="D91" t="s">
        <v>34</v>
      </c>
      <c r="E91" t="s">
        <v>63</v>
      </c>
      <c r="F91">
        <v>1</v>
      </c>
      <c r="G91">
        <v>599</v>
      </c>
      <c r="H91">
        <v>0</v>
      </c>
      <c r="I91" t="s">
        <v>15</v>
      </c>
      <c r="J91" t="s">
        <v>16</v>
      </c>
      <c r="K91" t="s">
        <v>17</v>
      </c>
      <c r="L91">
        <v>0</v>
      </c>
      <c r="M91">
        <v>599</v>
      </c>
      <c r="N91">
        <v>599</v>
      </c>
      <c r="O91">
        <v>599</v>
      </c>
    </row>
    <row r="92" spans="1:15" x14ac:dyDescent="0.3">
      <c r="A92" t="s">
        <v>198</v>
      </c>
      <c r="B92" s="1">
        <v>46054</v>
      </c>
      <c r="C92" t="s">
        <v>199</v>
      </c>
      <c r="D92" t="s">
        <v>29</v>
      </c>
      <c r="E92" t="s">
        <v>77</v>
      </c>
      <c r="F92">
        <v>1</v>
      </c>
      <c r="G92">
        <v>399</v>
      </c>
      <c r="H92">
        <v>0.15</v>
      </c>
      <c r="I92" t="s">
        <v>22</v>
      </c>
      <c r="J92" t="s">
        <v>58</v>
      </c>
      <c r="K92" t="s">
        <v>17</v>
      </c>
      <c r="L92">
        <v>59.850000000000023</v>
      </c>
      <c r="M92">
        <v>399</v>
      </c>
      <c r="N92">
        <v>339.15</v>
      </c>
      <c r="O92">
        <v>339.15</v>
      </c>
    </row>
    <row r="93" spans="1:15" x14ac:dyDescent="0.3">
      <c r="A93" t="s">
        <v>200</v>
      </c>
      <c r="B93" s="1">
        <v>46055</v>
      </c>
      <c r="C93" t="s">
        <v>49</v>
      </c>
      <c r="D93" t="s">
        <v>13</v>
      </c>
      <c r="E93" t="s">
        <v>14</v>
      </c>
      <c r="F93">
        <v>1</v>
      </c>
      <c r="G93">
        <v>499</v>
      </c>
      <c r="H93">
        <v>0.15</v>
      </c>
      <c r="I93" t="s">
        <v>40</v>
      </c>
      <c r="J93" t="s">
        <v>23</v>
      </c>
      <c r="K93" t="s">
        <v>50</v>
      </c>
      <c r="L93">
        <v>74.850000000000023</v>
      </c>
      <c r="M93">
        <v>499</v>
      </c>
      <c r="N93">
        <v>424.15</v>
      </c>
      <c r="O93">
        <v>0</v>
      </c>
    </row>
    <row r="94" spans="1:15" x14ac:dyDescent="0.3">
      <c r="A94" t="s">
        <v>201</v>
      </c>
      <c r="B94" s="1">
        <v>46055</v>
      </c>
      <c r="C94" t="s">
        <v>184</v>
      </c>
      <c r="D94" t="s">
        <v>34</v>
      </c>
      <c r="E94" t="s">
        <v>39</v>
      </c>
      <c r="F94">
        <v>2</v>
      </c>
      <c r="G94">
        <v>499</v>
      </c>
      <c r="H94">
        <v>0</v>
      </c>
      <c r="I94" t="s">
        <v>40</v>
      </c>
      <c r="J94" t="s">
        <v>47</v>
      </c>
      <c r="K94" t="s">
        <v>17</v>
      </c>
      <c r="L94">
        <v>0</v>
      </c>
      <c r="M94">
        <v>998</v>
      </c>
      <c r="N94">
        <v>998</v>
      </c>
      <c r="O94">
        <v>998</v>
      </c>
    </row>
    <row r="95" spans="1:15" x14ac:dyDescent="0.3">
      <c r="A95" t="s">
        <v>202</v>
      </c>
      <c r="B95" s="1">
        <v>46056</v>
      </c>
      <c r="C95" t="s">
        <v>130</v>
      </c>
      <c r="D95" t="s">
        <v>34</v>
      </c>
      <c r="E95" t="s">
        <v>108</v>
      </c>
      <c r="F95">
        <v>2</v>
      </c>
      <c r="G95">
        <v>1599</v>
      </c>
      <c r="H95">
        <v>0</v>
      </c>
      <c r="I95" t="s">
        <v>40</v>
      </c>
      <c r="J95" t="s">
        <v>31</v>
      </c>
      <c r="K95" t="s">
        <v>24</v>
      </c>
      <c r="L95">
        <v>0</v>
      </c>
      <c r="M95">
        <v>3198</v>
      </c>
      <c r="N95">
        <v>3198</v>
      </c>
      <c r="O95">
        <v>0</v>
      </c>
    </row>
    <row r="96" spans="1:15" x14ac:dyDescent="0.3">
      <c r="A96" t="s">
        <v>203</v>
      </c>
      <c r="B96" s="1">
        <v>46056</v>
      </c>
      <c r="C96" t="s">
        <v>60</v>
      </c>
      <c r="D96" t="s">
        <v>29</v>
      </c>
      <c r="E96" t="s">
        <v>122</v>
      </c>
      <c r="F96">
        <v>3</v>
      </c>
      <c r="G96">
        <v>249</v>
      </c>
      <c r="H96">
        <v>0.15</v>
      </c>
      <c r="I96" t="s">
        <v>40</v>
      </c>
      <c r="J96" t="s">
        <v>23</v>
      </c>
      <c r="K96" t="s">
        <v>50</v>
      </c>
      <c r="L96">
        <v>112.05000000000007</v>
      </c>
      <c r="M96">
        <v>747</v>
      </c>
      <c r="N96">
        <v>634.94999999999993</v>
      </c>
      <c r="O96">
        <v>0</v>
      </c>
    </row>
    <row r="97" spans="1:15" x14ac:dyDescent="0.3">
      <c r="A97" t="s">
        <v>204</v>
      </c>
      <c r="B97" s="1">
        <v>46056</v>
      </c>
      <c r="C97" t="s">
        <v>205</v>
      </c>
      <c r="D97" t="s">
        <v>29</v>
      </c>
      <c r="E97" t="s">
        <v>77</v>
      </c>
      <c r="F97">
        <v>1</v>
      </c>
      <c r="G97">
        <v>399</v>
      </c>
      <c r="H97">
        <v>0.05</v>
      </c>
      <c r="I97" t="s">
        <v>15</v>
      </c>
      <c r="J97" t="s">
        <v>31</v>
      </c>
      <c r="K97" t="s">
        <v>17</v>
      </c>
      <c r="L97">
        <v>19.950000000000045</v>
      </c>
      <c r="M97">
        <v>399</v>
      </c>
      <c r="N97">
        <v>379.04999999999995</v>
      </c>
      <c r="O97">
        <v>379.04999999999995</v>
      </c>
    </row>
    <row r="98" spans="1:15" x14ac:dyDescent="0.3">
      <c r="A98" t="s">
        <v>206</v>
      </c>
      <c r="B98" s="1">
        <v>46056</v>
      </c>
      <c r="C98" t="s">
        <v>105</v>
      </c>
      <c r="D98" t="s">
        <v>20</v>
      </c>
      <c r="E98" t="s">
        <v>72</v>
      </c>
      <c r="F98">
        <v>1</v>
      </c>
      <c r="G98">
        <v>1799</v>
      </c>
      <c r="H98">
        <v>0.15</v>
      </c>
      <c r="I98" t="s">
        <v>36</v>
      </c>
      <c r="J98" t="s">
        <v>16</v>
      </c>
      <c r="K98" t="s">
        <v>17</v>
      </c>
      <c r="L98">
        <v>269.85000000000014</v>
      </c>
      <c r="M98">
        <v>1799</v>
      </c>
      <c r="N98">
        <v>1529.1499999999999</v>
      </c>
      <c r="O98">
        <v>1529.1499999999999</v>
      </c>
    </row>
    <row r="99" spans="1:15" x14ac:dyDescent="0.3">
      <c r="A99" t="s">
        <v>207</v>
      </c>
      <c r="B99" s="1">
        <v>46056</v>
      </c>
      <c r="C99" t="s">
        <v>173</v>
      </c>
      <c r="D99" t="s">
        <v>20</v>
      </c>
      <c r="E99" t="s">
        <v>72</v>
      </c>
      <c r="F99">
        <v>1</v>
      </c>
      <c r="G99">
        <v>1799</v>
      </c>
      <c r="H99">
        <v>0</v>
      </c>
      <c r="I99" t="s">
        <v>40</v>
      </c>
      <c r="J99" t="s">
        <v>23</v>
      </c>
      <c r="K99" t="s">
        <v>17</v>
      </c>
      <c r="L99">
        <v>0</v>
      </c>
      <c r="M99">
        <v>1799</v>
      </c>
      <c r="N99">
        <v>1799</v>
      </c>
      <c r="O99">
        <v>1799</v>
      </c>
    </row>
    <row r="100" spans="1:15" x14ac:dyDescent="0.3">
      <c r="A100" t="s">
        <v>208</v>
      </c>
      <c r="B100" s="1">
        <v>46056</v>
      </c>
      <c r="C100" t="s">
        <v>209</v>
      </c>
      <c r="D100" t="s">
        <v>34</v>
      </c>
      <c r="E100" t="s">
        <v>53</v>
      </c>
      <c r="F100">
        <v>4</v>
      </c>
      <c r="G100">
        <v>899</v>
      </c>
      <c r="H100">
        <v>0.1</v>
      </c>
      <c r="I100" t="s">
        <v>40</v>
      </c>
      <c r="J100" t="s">
        <v>23</v>
      </c>
      <c r="K100" t="s">
        <v>17</v>
      </c>
      <c r="L100">
        <v>359.59999999999991</v>
      </c>
      <c r="M100">
        <v>3596</v>
      </c>
      <c r="N100">
        <v>3236.4</v>
      </c>
      <c r="O100">
        <v>3236.4</v>
      </c>
    </row>
    <row r="101" spans="1:15" x14ac:dyDescent="0.3">
      <c r="A101" t="s">
        <v>210</v>
      </c>
      <c r="B101" s="1">
        <v>46057</v>
      </c>
      <c r="C101" t="s">
        <v>19</v>
      </c>
      <c r="D101" t="s">
        <v>29</v>
      </c>
      <c r="E101" t="s">
        <v>122</v>
      </c>
      <c r="F101">
        <v>1</v>
      </c>
      <c r="G101">
        <v>249</v>
      </c>
      <c r="H101">
        <v>0.15</v>
      </c>
      <c r="I101" t="s">
        <v>40</v>
      </c>
      <c r="J101" t="s">
        <v>47</v>
      </c>
      <c r="K101" t="s">
        <v>50</v>
      </c>
      <c r="L101">
        <v>37.349999999999994</v>
      </c>
      <c r="M101">
        <v>249</v>
      </c>
      <c r="N101">
        <v>211.65</v>
      </c>
      <c r="O101">
        <v>0</v>
      </c>
    </row>
    <row r="102" spans="1:15" x14ac:dyDescent="0.3">
      <c r="A102" t="s">
        <v>211</v>
      </c>
      <c r="B102" s="1">
        <v>46058</v>
      </c>
      <c r="C102" t="s">
        <v>189</v>
      </c>
      <c r="D102" t="s">
        <v>34</v>
      </c>
      <c r="E102" t="s">
        <v>63</v>
      </c>
      <c r="F102">
        <v>1</v>
      </c>
      <c r="G102">
        <v>599</v>
      </c>
      <c r="H102">
        <v>0.05</v>
      </c>
      <c r="I102" t="s">
        <v>15</v>
      </c>
      <c r="J102" t="s">
        <v>23</v>
      </c>
      <c r="K102" t="s">
        <v>17</v>
      </c>
      <c r="L102">
        <v>29.950000000000045</v>
      </c>
      <c r="M102">
        <v>599</v>
      </c>
      <c r="N102">
        <v>569.04999999999995</v>
      </c>
      <c r="O102">
        <v>569.04999999999995</v>
      </c>
    </row>
    <row r="103" spans="1:15" x14ac:dyDescent="0.3">
      <c r="A103" t="s">
        <v>212</v>
      </c>
      <c r="B103" s="1">
        <v>46058</v>
      </c>
      <c r="C103" t="s">
        <v>42</v>
      </c>
      <c r="D103" t="s">
        <v>13</v>
      </c>
      <c r="E103" t="s">
        <v>93</v>
      </c>
      <c r="F103">
        <v>1</v>
      </c>
      <c r="G103">
        <v>1499</v>
      </c>
      <c r="H103">
        <v>0.2</v>
      </c>
      <c r="I103" t="s">
        <v>22</v>
      </c>
      <c r="J103" t="s">
        <v>31</v>
      </c>
      <c r="K103" t="s">
        <v>24</v>
      </c>
      <c r="L103">
        <v>299.79999999999995</v>
      </c>
      <c r="M103">
        <v>1499</v>
      </c>
      <c r="N103">
        <v>1199.2</v>
      </c>
      <c r="O103">
        <v>0</v>
      </c>
    </row>
    <row r="104" spans="1:15" x14ac:dyDescent="0.3">
      <c r="A104" t="s">
        <v>213</v>
      </c>
      <c r="B104" s="1">
        <v>46058</v>
      </c>
      <c r="C104" t="s">
        <v>214</v>
      </c>
      <c r="D104" t="s">
        <v>34</v>
      </c>
      <c r="E104" t="s">
        <v>63</v>
      </c>
      <c r="F104">
        <v>1</v>
      </c>
      <c r="G104">
        <v>599</v>
      </c>
      <c r="H104">
        <v>0.05</v>
      </c>
      <c r="I104" t="s">
        <v>40</v>
      </c>
      <c r="J104" t="s">
        <v>58</v>
      </c>
      <c r="K104" t="s">
        <v>24</v>
      </c>
      <c r="L104">
        <v>29.950000000000045</v>
      </c>
      <c r="M104">
        <v>599</v>
      </c>
      <c r="N104">
        <v>569.04999999999995</v>
      </c>
      <c r="O104">
        <v>0</v>
      </c>
    </row>
    <row r="105" spans="1:15" x14ac:dyDescent="0.3">
      <c r="A105" t="s">
        <v>215</v>
      </c>
      <c r="B105" s="1">
        <v>46058</v>
      </c>
      <c r="C105" t="s">
        <v>144</v>
      </c>
      <c r="D105" t="s">
        <v>29</v>
      </c>
      <c r="E105" t="s">
        <v>46</v>
      </c>
      <c r="F105">
        <v>3</v>
      </c>
      <c r="G105">
        <v>199</v>
      </c>
      <c r="H105">
        <v>0.2</v>
      </c>
      <c r="I105" t="s">
        <v>40</v>
      </c>
      <c r="J105" t="s">
        <v>47</v>
      </c>
      <c r="K105" t="s">
        <v>17</v>
      </c>
      <c r="L105">
        <v>119.39999999999998</v>
      </c>
      <c r="M105">
        <v>597</v>
      </c>
      <c r="N105">
        <v>477.6</v>
      </c>
      <c r="O105">
        <v>477.6</v>
      </c>
    </row>
    <row r="106" spans="1:15" x14ac:dyDescent="0.3">
      <c r="A106" t="s">
        <v>216</v>
      </c>
      <c r="B106" s="1">
        <v>46058</v>
      </c>
      <c r="C106" t="s">
        <v>217</v>
      </c>
      <c r="D106" t="s">
        <v>20</v>
      </c>
      <c r="E106" t="s">
        <v>66</v>
      </c>
      <c r="F106">
        <v>1</v>
      </c>
      <c r="G106">
        <v>799</v>
      </c>
      <c r="H106">
        <v>0.1</v>
      </c>
      <c r="I106" t="s">
        <v>22</v>
      </c>
      <c r="J106" t="s">
        <v>58</v>
      </c>
      <c r="K106" t="s">
        <v>17</v>
      </c>
      <c r="L106">
        <v>79.899999999999977</v>
      </c>
      <c r="M106">
        <v>799</v>
      </c>
      <c r="N106">
        <v>719.1</v>
      </c>
      <c r="O106">
        <v>719.1</v>
      </c>
    </row>
    <row r="107" spans="1:15" x14ac:dyDescent="0.3">
      <c r="A107" t="s">
        <v>218</v>
      </c>
      <c r="B107" s="1">
        <v>46059</v>
      </c>
      <c r="C107" t="s">
        <v>192</v>
      </c>
      <c r="D107" t="s">
        <v>20</v>
      </c>
      <c r="E107" t="s">
        <v>21</v>
      </c>
      <c r="F107">
        <v>2</v>
      </c>
      <c r="G107">
        <v>1299</v>
      </c>
      <c r="H107">
        <v>0.15</v>
      </c>
      <c r="I107" t="s">
        <v>15</v>
      </c>
      <c r="J107" t="s">
        <v>31</v>
      </c>
      <c r="K107" t="s">
        <v>17</v>
      </c>
      <c r="L107">
        <v>389.70000000000027</v>
      </c>
      <c r="M107">
        <v>2598</v>
      </c>
      <c r="N107">
        <v>2208.2999999999997</v>
      </c>
      <c r="O107">
        <v>2208.2999999999997</v>
      </c>
    </row>
    <row r="108" spans="1:15" x14ac:dyDescent="0.3">
      <c r="A108" t="s">
        <v>219</v>
      </c>
      <c r="B108" s="1">
        <v>46059</v>
      </c>
      <c r="C108" t="s">
        <v>220</v>
      </c>
      <c r="D108" t="s">
        <v>29</v>
      </c>
      <c r="E108" t="s">
        <v>77</v>
      </c>
      <c r="F108">
        <v>4</v>
      </c>
      <c r="G108">
        <v>399</v>
      </c>
      <c r="H108">
        <v>0.1</v>
      </c>
      <c r="I108" t="s">
        <v>15</v>
      </c>
      <c r="J108" t="s">
        <v>16</v>
      </c>
      <c r="K108" t="s">
        <v>17</v>
      </c>
      <c r="L108">
        <v>159.59999999999991</v>
      </c>
      <c r="M108">
        <v>1596</v>
      </c>
      <c r="N108">
        <v>1436.4</v>
      </c>
      <c r="O108">
        <v>1436.4</v>
      </c>
    </row>
    <row r="109" spans="1:15" x14ac:dyDescent="0.3">
      <c r="A109" t="s">
        <v>221</v>
      </c>
      <c r="B109" s="1">
        <v>46060</v>
      </c>
      <c r="C109" t="s">
        <v>194</v>
      </c>
      <c r="D109" t="s">
        <v>20</v>
      </c>
      <c r="E109" t="s">
        <v>21</v>
      </c>
      <c r="F109">
        <v>1</v>
      </c>
      <c r="G109">
        <v>1299</v>
      </c>
      <c r="H109">
        <v>0.15</v>
      </c>
      <c r="I109" t="s">
        <v>40</v>
      </c>
      <c r="J109" t="s">
        <v>31</v>
      </c>
      <c r="K109" t="s">
        <v>17</v>
      </c>
      <c r="L109">
        <v>194.85000000000014</v>
      </c>
      <c r="M109">
        <v>1299</v>
      </c>
      <c r="N109">
        <v>1104.1499999999999</v>
      </c>
      <c r="O109">
        <v>1104.1499999999999</v>
      </c>
    </row>
    <row r="110" spans="1:15" x14ac:dyDescent="0.3">
      <c r="A110" t="s">
        <v>222</v>
      </c>
      <c r="B110" s="1">
        <v>46060</v>
      </c>
      <c r="C110" t="s">
        <v>90</v>
      </c>
      <c r="D110" t="s">
        <v>20</v>
      </c>
      <c r="E110" t="s">
        <v>66</v>
      </c>
      <c r="F110">
        <v>3</v>
      </c>
      <c r="G110">
        <v>799</v>
      </c>
      <c r="H110">
        <v>0</v>
      </c>
      <c r="I110" t="s">
        <v>36</v>
      </c>
      <c r="J110" t="s">
        <v>58</v>
      </c>
      <c r="K110" t="s">
        <v>17</v>
      </c>
      <c r="L110">
        <v>0</v>
      </c>
      <c r="M110">
        <v>2397</v>
      </c>
      <c r="N110">
        <v>2397</v>
      </c>
      <c r="O110">
        <v>2397</v>
      </c>
    </row>
    <row r="111" spans="1:15" x14ac:dyDescent="0.3">
      <c r="A111" t="s">
        <v>223</v>
      </c>
      <c r="B111" s="1">
        <v>46060</v>
      </c>
      <c r="C111" t="s">
        <v>137</v>
      </c>
      <c r="D111" t="s">
        <v>34</v>
      </c>
      <c r="E111" t="s">
        <v>35</v>
      </c>
      <c r="F111">
        <v>4</v>
      </c>
      <c r="G111">
        <v>6499</v>
      </c>
      <c r="H111">
        <v>0.2</v>
      </c>
      <c r="I111" t="s">
        <v>15</v>
      </c>
      <c r="J111" t="s">
        <v>23</v>
      </c>
      <c r="K111" t="s">
        <v>17</v>
      </c>
      <c r="L111">
        <v>5199.1999999999971</v>
      </c>
      <c r="M111">
        <v>25996</v>
      </c>
      <c r="N111">
        <v>20796.800000000003</v>
      </c>
      <c r="O111">
        <v>20796.800000000003</v>
      </c>
    </row>
    <row r="112" spans="1:15" x14ac:dyDescent="0.3">
      <c r="A112" t="s">
        <v>224</v>
      </c>
      <c r="B112" s="1">
        <v>46060</v>
      </c>
      <c r="C112" t="s">
        <v>119</v>
      </c>
      <c r="D112" t="s">
        <v>20</v>
      </c>
      <c r="E112" t="s">
        <v>72</v>
      </c>
      <c r="F112">
        <v>4</v>
      </c>
      <c r="G112">
        <v>1799</v>
      </c>
      <c r="H112">
        <v>0.05</v>
      </c>
      <c r="I112" t="s">
        <v>36</v>
      </c>
      <c r="J112" t="s">
        <v>47</v>
      </c>
      <c r="K112" t="s">
        <v>17</v>
      </c>
      <c r="L112">
        <v>359.80000000000018</v>
      </c>
      <c r="M112">
        <v>7196</v>
      </c>
      <c r="N112">
        <v>6836.2</v>
      </c>
      <c r="O112">
        <v>6836.2</v>
      </c>
    </row>
    <row r="113" spans="1:15" x14ac:dyDescent="0.3">
      <c r="A113" t="s">
        <v>225</v>
      </c>
      <c r="B113" s="1">
        <v>46060</v>
      </c>
      <c r="C113" t="s">
        <v>65</v>
      </c>
      <c r="D113" t="s">
        <v>20</v>
      </c>
      <c r="E113" t="s">
        <v>21</v>
      </c>
      <c r="F113">
        <v>1</v>
      </c>
      <c r="G113">
        <v>1299</v>
      </c>
      <c r="H113">
        <v>0</v>
      </c>
      <c r="I113" t="s">
        <v>22</v>
      </c>
      <c r="J113" t="s">
        <v>31</v>
      </c>
      <c r="K113" t="s">
        <v>50</v>
      </c>
      <c r="L113">
        <v>0</v>
      </c>
      <c r="M113">
        <v>1299</v>
      </c>
      <c r="N113">
        <v>1299</v>
      </c>
      <c r="O113">
        <v>0</v>
      </c>
    </row>
    <row r="114" spans="1:15" x14ac:dyDescent="0.3">
      <c r="A114" t="s">
        <v>226</v>
      </c>
      <c r="B114" s="1">
        <v>46060</v>
      </c>
      <c r="C114" t="s">
        <v>135</v>
      </c>
      <c r="D114" t="s">
        <v>34</v>
      </c>
      <c r="E114" t="s">
        <v>63</v>
      </c>
      <c r="F114">
        <v>4</v>
      </c>
      <c r="G114">
        <v>599</v>
      </c>
      <c r="H114">
        <v>0.15</v>
      </c>
      <c r="I114" t="s">
        <v>40</v>
      </c>
      <c r="J114" t="s">
        <v>47</v>
      </c>
      <c r="K114" t="s">
        <v>17</v>
      </c>
      <c r="L114">
        <v>359.40000000000009</v>
      </c>
      <c r="M114">
        <v>2396</v>
      </c>
      <c r="N114">
        <v>2036.6</v>
      </c>
      <c r="O114">
        <v>2036.6</v>
      </c>
    </row>
    <row r="115" spans="1:15" x14ac:dyDescent="0.3">
      <c r="A115" t="s">
        <v>227</v>
      </c>
      <c r="B115" s="1">
        <v>46060</v>
      </c>
      <c r="C115" t="s">
        <v>114</v>
      </c>
      <c r="D115" t="s">
        <v>13</v>
      </c>
      <c r="E115" t="s">
        <v>69</v>
      </c>
      <c r="F115">
        <v>2</v>
      </c>
      <c r="G115">
        <v>299</v>
      </c>
      <c r="H115">
        <v>0</v>
      </c>
      <c r="I115" t="s">
        <v>40</v>
      </c>
      <c r="J115" t="s">
        <v>16</v>
      </c>
      <c r="K115" t="s">
        <v>17</v>
      </c>
      <c r="L115">
        <v>0</v>
      </c>
      <c r="M115">
        <v>598</v>
      </c>
      <c r="N115">
        <v>598</v>
      </c>
      <c r="O115">
        <v>598</v>
      </c>
    </row>
    <row r="116" spans="1:15" x14ac:dyDescent="0.3">
      <c r="A116" t="s">
        <v>228</v>
      </c>
      <c r="B116" s="1">
        <v>46061</v>
      </c>
      <c r="C116" t="s">
        <v>42</v>
      </c>
      <c r="D116" t="s">
        <v>34</v>
      </c>
      <c r="E116" t="s">
        <v>35</v>
      </c>
      <c r="F116">
        <v>2</v>
      </c>
      <c r="G116">
        <v>6499</v>
      </c>
      <c r="H116">
        <v>0.1</v>
      </c>
      <c r="I116" t="s">
        <v>22</v>
      </c>
      <c r="J116" t="s">
        <v>47</v>
      </c>
      <c r="K116" t="s">
        <v>17</v>
      </c>
      <c r="L116">
        <v>1299.7999999999993</v>
      </c>
      <c r="M116">
        <v>12998</v>
      </c>
      <c r="N116">
        <v>11698.2</v>
      </c>
      <c r="O116">
        <v>11698.2</v>
      </c>
    </row>
    <row r="117" spans="1:15" x14ac:dyDescent="0.3">
      <c r="A117" t="s">
        <v>229</v>
      </c>
      <c r="B117" s="1">
        <v>46061</v>
      </c>
      <c r="C117" t="s">
        <v>230</v>
      </c>
      <c r="D117" t="s">
        <v>13</v>
      </c>
      <c r="E117" t="s">
        <v>231</v>
      </c>
      <c r="F117">
        <v>2</v>
      </c>
      <c r="G117">
        <v>699</v>
      </c>
      <c r="H117">
        <v>0.05</v>
      </c>
      <c r="I117" t="s">
        <v>40</v>
      </c>
      <c r="J117" t="s">
        <v>23</v>
      </c>
      <c r="K117" t="s">
        <v>17</v>
      </c>
      <c r="L117">
        <v>69.900000000000091</v>
      </c>
      <c r="M117">
        <v>1398</v>
      </c>
      <c r="N117">
        <v>1328.1</v>
      </c>
      <c r="O117">
        <v>1328.1</v>
      </c>
    </row>
    <row r="118" spans="1:15" x14ac:dyDescent="0.3">
      <c r="A118" t="s">
        <v>232</v>
      </c>
      <c r="B118" s="1">
        <v>46062</v>
      </c>
      <c r="C118" t="s">
        <v>42</v>
      </c>
      <c r="D118" t="s">
        <v>20</v>
      </c>
      <c r="E118" t="s">
        <v>82</v>
      </c>
      <c r="F118">
        <v>2</v>
      </c>
      <c r="G118">
        <v>2299</v>
      </c>
      <c r="H118">
        <v>0</v>
      </c>
      <c r="I118" t="s">
        <v>15</v>
      </c>
      <c r="J118" t="s">
        <v>31</v>
      </c>
      <c r="K118" t="s">
        <v>50</v>
      </c>
      <c r="L118">
        <v>0</v>
      </c>
      <c r="M118">
        <v>4598</v>
      </c>
      <c r="N118">
        <v>4598</v>
      </c>
      <c r="O118">
        <v>0</v>
      </c>
    </row>
    <row r="119" spans="1:15" x14ac:dyDescent="0.3">
      <c r="A119" t="s">
        <v>233</v>
      </c>
      <c r="B119" s="1">
        <v>46063</v>
      </c>
      <c r="C119" t="s">
        <v>196</v>
      </c>
      <c r="D119" t="s">
        <v>34</v>
      </c>
      <c r="E119" t="s">
        <v>108</v>
      </c>
      <c r="F119">
        <v>3</v>
      </c>
      <c r="G119">
        <v>1599</v>
      </c>
      <c r="H119">
        <v>0.2</v>
      </c>
      <c r="I119" t="s">
        <v>40</v>
      </c>
      <c r="J119" t="s">
        <v>58</v>
      </c>
      <c r="K119" t="s">
        <v>17</v>
      </c>
      <c r="L119">
        <v>959.39999999999964</v>
      </c>
      <c r="M119">
        <v>4797</v>
      </c>
      <c r="N119">
        <v>3837.6000000000004</v>
      </c>
      <c r="O119">
        <v>3837.6000000000004</v>
      </c>
    </row>
    <row r="120" spans="1:15" x14ac:dyDescent="0.3">
      <c r="A120" t="s">
        <v>234</v>
      </c>
      <c r="B120" s="1">
        <v>46063</v>
      </c>
      <c r="C120" t="s">
        <v>235</v>
      </c>
      <c r="D120" t="s">
        <v>29</v>
      </c>
      <c r="E120" t="s">
        <v>30</v>
      </c>
      <c r="F120">
        <v>3</v>
      </c>
      <c r="G120">
        <v>349</v>
      </c>
      <c r="H120">
        <v>0.15</v>
      </c>
      <c r="I120" t="s">
        <v>22</v>
      </c>
      <c r="J120" t="s">
        <v>58</v>
      </c>
      <c r="K120" t="s">
        <v>50</v>
      </c>
      <c r="L120">
        <v>157.05000000000007</v>
      </c>
      <c r="M120">
        <v>1047</v>
      </c>
      <c r="N120">
        <v>889.94999999999993</v>
      </c>
      <c r="O120">
        <v>0</v>
      </c>
    </row>
    <row r="121" spans="1:15" x14ac:dyDescent="0.3">
      <c r="A121" t="s">
        <v>236</v>
      </c>
      <c r="B121" s="1">
        <v>46066</v>
      </c>
      <c r="C121" t="s">
        <v>199</v>
      </c>
      <c r="D121" t="s">
        <v>13</v>
      </c>
      <c r="E121" t="s">
        <v>69</v>
      </c>
      <c r="F121">
        <v>1</v>
      </c>
      <c r="G121">
        <v>299</v>
      </c>
      <c r="H121">
        <v>0.2</v>
      </c>
      <c r="I121" t="s">
        <v>22</v>
      </c>
      <c r="J121" t="s">
        <v>16</v>
      </c>
      <c r="K121" t="s">
        <v>17</v>
      </c>
      <c r="L121">
        <v>59.799999999999983</v>
      </c>
      <c r="M121">
        <v>299</v>
      </c>
      <c r="N121">
        <v>239.20000000000002</v>
      </c>
      <c r="O121">
        <v>239.20000000000002</v>
      </c>
    </row>
    <row r="122" spans="1:15" x14ac:dyDescent="0.3">
      <c r="A122" t="s">
        <v>237</v>
      </c>
      <c r="B122" s="1">
        <v>46067</v>
      </c>
      <c r="C122" t="s">
        <v>146</v>
      </c>
      <c r="D122" t="s">
        <v>13</v>
      </c>
      <c r="E122" t="s">
        <v>125</v>
      </c>
      <c r="F122">
        <v>2</v>
      </c>
      <c r="G122">
        <v>1199</v>
      </c>
      <c r="H122">
        <v>0.1</v>
      </c>
      <c r="I122" t="s">
        <v>15</v>
      </c>
      <c r="J122" t="s">
        <v>16</v>
      </c>
      <c r="K122" t="s">
        <v>17</v>
      </c>
      <c r="L122">
        <v>239.79999999999973</v>
      </c>
      <c r="M122">
        <v>2398</v>
      </c>
      <c r="N122">
        <v>2158.2000000000003</v>
      </c>
      <c r="O122">
        <v>2158.2000000000003</v>
      </c>
    </row>
    <row r="123" spans="1:15" x14ac:dyDescent="0.3">
      <c r="A123" t="s">
        <v>238</v>
      </c>
      <c r="B123" s="1">
        <v>46067</v>
      </c>
      <c r="C123" t="s">
        <v>55</v>
      </c>
      <c r="D123" t="s">
        <v>20</v>
      </c>
      <c r="E123" t="s">
        <v>66</v>
      </c>
      <c r="F123">
        <v>1</v>
      </c>
      <c r="G123">
        <v>799</v>
      </c>
      <c r="H123">
        <v>0.1</v>
      </c>
      <c r="I123" t="s">
        <v>15</v>
      </c>
      <c r="J123" t="s">
        <v>16</v>
      </c>
      <c r="K123" t="s">
        <v>17</v>
      </c>
      <c r="L123">
        <v>79.899999999999977</v>
      </c>
      <c r="M123">
        <v>799</v>
      </c>
      <c r="N123">
        <v>719.1</v>
      </c>
      <c r="O123">
        <v>719.1</v>
      </c>
    </row>
    <row r="124" spans="1:15" x14ac:dyDescent="0.3">
      <c r="A124" t="s">
        <v>239</v>
      </c>
      <c r="B124" s="1">
        <v>46067</v>
      </c>
      <c r="C124" t="s">
        <v>194</v>
      </c>
      <c r="D124" t="s">
        <v>29</v>
      </c>
      <c r="E124" t="s">
        <v>77</v>
      </c>
      <c r="F124">
        <v>3</v>
      </c>
      <c r="G124">
        <v>399</v>
      </c>
      <c r="H124">
        <v>0.2</v>
      </c>
      <c r="I124" t="s">
        <v>15</v>
      </c>
      <c r="J124" t="s">
        <v>23</v>
      </c>
      <c r="K124" t="s">
        <v>17</v>
      </c>
      <c r="L124">
        <v>239.39999999999998</v>
      </c>
      <c r="M124">
        <v>1197</v>
      </c>
      <c r="N124">
        <v>957.6</v>
      </c>
      <c r="O124">
        <v>957.6</v>
      </c>
    </row>
    <row r="125" spans="1:15" x14ac:dyDescent="0.3">
      <c r="A125" t="s">
        <v>240</v>
      </c>
      <c r="B125" s="1">
        <v>46067</v>
      </c>
      <c r="C125" t="s">
        <v>107</v>
      </c>
      <c r="D125" t="s">
        <v>34</v>
      </c>
      <c r="E125" t="s">
        <v>35</v>
      </c>
      <c r="F125">
        <v>3</v>
      </c>
      <c r="G125">
        <v>6499</v>
      </c>
      <c r="H125">
        <v>0.05</v>
      </c>
      <c r="I125" t="s">
        <v>40</v>
      </c>
      <c r="J125" t="s">
        <v>31</v>
      </c>
      <c r="K125" t="s">
        <v>17</v>
      </c>
      <c r="L125">
        <v>974.85000000000218</v>
      </c>
      <c r="M125">
        <v>19497</v>
      </c>
      <c r="N125">
        <v>18522.149999999998</v>
      </c>
      <c r="O125">
        <v>18522.149999999998</v>
      </c>
    </row>
    <row r="126" spans="1:15" x14ac:dyDescent="0.3">
      <c r="A126" t="s">
        <v>241</v>
      </c>
      <c r="B126" s="1">
        <v>46068</v>
      </c>
      <c r="C126" t="s">
        <v>81</v>
      </c>
      <c r="D126" t="s">
        <v>29</v>
      </c>
      <c r="E126" t="s">
        <v>77</v>
      </c>
      <c r="F126">
        <v>3</v>
      </c>
      <c r="G126">
        <v>399</v>
      </c>
      <c r="H126">
        <v>0.05</v>
      </c>
      <c r="I126" t="s">
        <v>22</v>
      </c>
      <c r="J126" t="s">
        <v>23</v>
      </c>
      <c r="K126" t="s">
        <v>17</v>
      </c>
      <c r="L126">
        <v>59.850000000000136</v>
      </c>
      <c r="M126">
        <v>1197</v>
      </c>
      <c r="N126">
        <v>1137.1499999999999</v>
      </c>
      <c r="O126">
        <v>1137.1499999999999</v>
      </c>
    </row>
    <row r="127" spans="1:15" x14ac:dyDescent="0.3">
      <c r="A127" t="s">
        <v>242</v>
      </c>
      <c r="B127" s="1">
        <v>46068</v>
      </c>
      <c r="C127" t="s">
        <v>26</v>
      </c>
      <c r="D127" t="s">
        <v>29</v>
      </c>
      <c r="E127" t="s">
        <v>77</v>
      </c>
      <c r="F127">
        <v>2</v>
      </c>
      <c r="G127">
        <v>399</v>
      </c>
      <c r="H127">
        <v>0.05</v>
      </c>
      <c r="I127" t="s">
        <v>40</v>
      </c>
      <c r="J127" t="s">
        <v>23</v>
      </c>
      <c r="K127" t="s">
        <v>17</v>
      </c>
      <c r="L127">
        <v>39.900000000000091</v>
      </c>
      <c r="M127">
        <v>798</v>
      </c>
      <c r="N127">
        <v>758.09999999999991</v>
      </c>
      <c r="O127">
        <v>758.09999999999991</v>
      </c>
    </row>
    <row r="128" spans="1:15" x14ac:dyDescent="0.3">
      <c r="A128" t="s">
        <v>243</v>
      </c>
      <c r="B128" s="1">
        <v>46069</v>
      </c>
      <c r="C128" t="s">
        <v>62</v>
      </c>
      <c r="D128" t="s">
        <v>29</v>
      </c>
      <c r="E128" t="s">
        <v>122</v>
      </c>
      <c r="F128">
        <v>1</v>
      </c>
      <c r="G128">
        <v>249</v>
      </c>
      <c r="H128">
        <v>0</v>
      </c>
      <c r="I128" t="s">
        <v>36</v>
      </c>
      <c r="J128" t="s">
        <v>16</v>
      </c>
      <c r="K128" t="s">
        <v>17</v>
      </c>
      <c r="L128">
        <v>0</v>
      </c>
      <c r="M128">
        <v>249</v>
      </c>
      <c r="N128">
        <v>249</v>
      </c>
      <c r="O128">
        <v>249</v>
      </c>
    </row>
    <row r="129" spans="1:15" x14ac:dyDescent="0.3">
      <c r="A129" t="s">
        <v>244</v>
      </c>
      <c r="B129" s="1">
        <v>46069</v>
      </c>
      <c r="C129" t="s">
        <v>194</v>
      </c>
      <c r="D129" t="s">
        <v>29</v>
      </c>
      <c r="E129" t="s">
        <v>46</v>
      </c>
      <c r="F129">
        <v>2</v>
      </c>
      <c r="G129">
        <v>199</v>
      </c>
      <c r="H129">
        <v>0</v>
      </c>
      <c r="I129" t="s">
        <v>22</v>
      </c>
      <c r="J129" t="s">
        <v>23</v>
      </c>
      <c r="K129" t="s">
        <v>17</v>
      </c>
      <c r="L129">
        <v>0</v>
      </c>
      <c r="M129">
        <v>398</v>
      </c>
      <c r="N129">
        <v>398</v>
      </c>
      <c r="O129">
        <v>398</v>
      </c>
    </row>
    <row r="130" spans="1:15" x14ac:dyDescent="0.3">
      <c r="A130" t="s">
        <v>245</v>
      </c>
      <c r="B130" s="1">
        <v>46069</v>
      </c>
      <c r="C130" t="s">
        <v>246</v>
      </c>
      <c r="D130" t="s">
        <v>29</v>
      </c>
      <c r="E130" t="s">
        <v>46</v>
      </c>
      <c r="F130">
        <v>4</v>
      </c>
      <c r="G130">
        <v>199</v>
      </c>
      <c r="H130">
        <v>0.2</v>
      </c>
      <c r="I130" t="s">
        <v>15</v>
      </c>
      <c r="J130" t="s">
        <v>16</v>
      </c>
      <c r="K130" t="s">
        <v>17</v>
      </c>
      <c r="L130">
        <v>159.19999999999993</v>
      </c>
      <c r="M130">
        <v>796</v>
      </c>
      <c r="N130">
        <v>636.80000000000007</v>
      </c>
      <c r="O130">
        <v>636.80000000000007</v>
      </c>
    </row>
    <row r="131" spans="1:15" x14ac:dyDescent="0.3">
      <c r="A131" t="s">
        <v>247</v>
      </c>
      <c r="B131" s="1">
        <v>46070</v>
      </c>
      <c r="C131" t="s">
        <v>144</v>
      </c>
      <c r="D131" t="s">
        <v>29</v>
      </c>
      <c r="E131" t="s">
        <v>30</v>
      </c>
      <c r="F131">
        <v>1</v>
      </c>
      <c r="G131">
        <v>349</v>
      </c>
      <c r="H131">
        <v>0.2</v>
      </c>
      <c r="I131" t="s">
        <v>15</v>
      </c>
      <c r="J131" t="s">
        <v>31</v>
      </c>
      <c r="K131" t="s">
        <v>24</v>
      </c>
      <c r="L131">
        <v>69.800000000000011</v>
      </c>
      <c r="M131">
        <v>349</v>
      </c>
      <c r="N131">
        <v>279.2</v>
      </c>
      <c r="O131">
        <v>0</v>
      </c>
    </row>
    <row r="132" spans="1:15" x14ac:dyDescent="0.3">
      <c r="A132" t="s">
        <v>248</v>
      </c>
      <c r="B132" s="1">
        <v>46070</v>
      </c>
      <c r="C132" t="s">
        <v>68</v>
      </c>
      <c r="D132" t="s">
        <v>29</v>
      </c>
      <c r="E132" t="s">
        <v>77</v>
      </c>
      <c r="F132">
        <v>1</v>
      </c>
      <c r="G132">
        <v>399</v>
      </c>
      <c r="H132">
        <v>0.15</v>
      </c>
      <c r="I132" t="s">
        <v>40</v>
      </c>
      <c r="J132" t="s">
        <v>47</v>
      </c>
      <c r="K132" t="s">
        <v>17</v>
      </c>
      <c r="L132">
        <v>59.850000000000023</v>
      </c>
      <c r="M132">
        <v>399</v>
      </c>
      <c r="N132">
        <v>339.15</v>
      </c>
      <c r="O132">
        <v>339.15</v>
      </c>
    </row>
    <row r="133" spans="1:15" x14ac:dyDescent="0.3">
      <c r="A133" t="s">
        <v>249</v>
      </c>
      <c r="B133" s="1">
        <v>46071</v>
      </c>
      <c r="C133" t="s">
        <v>250</v>
      </c>
      <c r="D133" t="s">
        <v>20</v>
      </c>
      <c r="E133" t="s">
        <v>21</v>
      </c>
      <c r="F133">
        <v>2</v>
      </c>
      <c r="G133">
        <v>1299</v>
      </c>
      <c r="H133">
        <v>0</v>
      </c>
      <c r="I133" t="s">
        <v>15</v>
      </c>
      <c r="J133" t="s">
        <v>47</v>
      </c>
      <c r="K133" t="s">
        <v>17</v>
      </c>
      <c r="L133">
        <v>0</v>
      </c>
      <c r="M133">
        <v>2598</v>
      </c>
      <c r="N133">
        <v>2598</v>
      </c>
      <c r="O133">
        <v>2598</v>
      </c>
    </row>
    <row r="134" spans="1:15" x14ac:dyDescent="0.3">
      <c r="A134" t="s">
        <v>251</v>
      </c>
      <c r="B134" s="1">
        <v>46071</v>
      </c>
      <c r="C134" t="s">
        <v>168</v>
      </c>
      <c r="D134" t="s">
        <v>34</v>
      </c>
      <c r="E134" t="s">
        <v>39</v>
      </c>
      <c r="F134">
        <v>1</v>
      </c>
      <c r="G134">
        <v>499</v>
      </c>
      <c r="H134">
        <v>0.2</v>
      </c>
      <c r="I134" t="s">
        <v>40</v>
      </c>
      <c r="J134" t="s">
        <v>23</v>
      </c>
      <c r="K134" t="s">
        <v>17</v>
      </c>
      <c r="L134">
        <v>99.799999999999955</v>
      </c>
      <c r="M134">
        <v>499</v>
      </c>
      <c r="N134">
        <v>399.20000000000005</v>
      </c>
      <c r="O134">
        <v>399.20000000000005</v>
      </c>
    </row>
    <row r="135" spans="1:15" x14ac:dyDescent="0.3">
      <c r="A135" t="s">
        <v>252</v>
      </c>
      <c r="B135" s="1">
        <v>46072</v>
      </c>
      <c r="C135" t="s">
        <v>132</v>
      </c>
      <c r="D135" t="s">
        <v>29</v>
      </c>
      <c r="E135" t="s">
        <v>85</v>
      </c>
      <c r="F135">
        <v>1</v>
      </c>
      <c r="G135">
        <v>299</v>
      </c>
      <c r="H135">
        <v>0.05</v>
      </c>
      <c r="I135" t="s">
        <v>15</v>
      </c>
      <c r="J135" t="s">
        <v>23</v>
      </c>
      <c r="K135" t="s">
        <v>17</v>
      </c>
      <c r="L135">
        <v>14.949999999999989</v>
      </c>
      <c r="M135">
        <v>299</v>
      </c>
      <c r="N135">
        <v>284.05</v>
      </c>
      <c r="O135">
        <v>284.05</v>
      </c>
    </row>
    <row r="136" spans="1:15" x14ac:dyDescent="0.3">
      <c r="A136" t="s">
        <v>253</v>
      </c>
      <c r="B136" s="1">
        <v>46073</v>
      </c>
      <c r="C136" t="s">
        <v>189</v>
      </c>
      <c r="D136" t="s">
        <v>29</v>
      </c>
      <c r="E136" t="s">
        <v>85</v>
      </c>
      <c r="F136">
        <v>3</v>
      </c>
      <c r="G136">
        <v>299</v>
      </c>
      <c r="H136">
        <v>0.2</v>
      </c>
      <c r="I136" t="s">
        <v>40</v>
      </c>
      <c r="J136" t="s">
        <v>16</v>
      </c>
      <c r="K136" t="s">
        <v>17</v>
      </c>
      <c r="L136">
        <v>179.39999999999998</v>
      </c>
      <c r="M136">
        <v>897</v>
      </c>
      <c r="N136">
        <v>717.6</v>
      </c>
      <c r="O136">
        <v>717.6</v>
      </c>
    </row>
    <row r="137" spans="1:15" x14ac:dyDescent="0.3">
      <c r="A137" t="s">
        <v>254</v>
      </c>
      <c r="B137" s="1">
        <v>46073</v>
      </c>
      <c r="C137" t="s">
        <v>19</v>
      </c>
      <c r="D137" t="s">
        <v>13</v>
      </c>
      <c r="E137" t="s">
        <v>69</v>
      </c>
      <c r="F137">
        <v>2</v>
      </c>
      <c r="G137">
        <v>299</v>
      </c>
      <c r="H137">
        <v>0.05</v>
      </c>
      <c r="I137" t="s">
        <v>40</v>
      </c>
      <c r="J137" t="s">
        <v>47</v>
      </c>
      <c r="K137" t="s">
        <v>50</v>
      </c>
      <c r="L137">
        <v>29.899999999999977</v>
      </c>
      <c r="M137">
        <v>598</v>
      </c>
      <c r="N137">
        <v>568.1</v>
      </c>
      <c r="O137">
        <v>0</v>
      </c>
    </row>
    <row r="138" spans="1:15" x14ac:dyDescent="0.3">
      <c r="A138" t="s">
        <v>255</v>
      </c>
      <c r="B138" s="1">
        <v>46073</v>
      </c>
      <c r="C138" t="s">
        <v>84</v>
      </c>
      <c r="D138" t="s">
        <v>20</v>
      </c>
      <c r="E138" t="s">
        <v>98</v>
      </c>
      <c r="F138">
        <v>2</v>
      </c>
      <c r="G138">
        <v>999</v>
      </c>
      <c r="H138">
        <v>0.05</v>
      </c>
      <c r="I138" t="s">
        <v>22</v>
      </c>
      <c r="J138" t="s">
        <v>58</v>
      </c>
      <c r="K138" t="s">
        <v>17</v>
      </c>
      <c r="L138">
        <v>99.900000000000091</v>
      </c>
      <c r="M138">
        <v>1998</v>
      </c>
      <c r="N138">
        <v>1898.1</v>
      </c>
      <c r="O138">
        <v>1898.1</v>
      </c>
    </row>
    <row r="139" spans="1:15" x14ac:dyDescent="0.3">
      <c r="A139" t="s">
        <v>256</v>
      </c>
      <c r="B139" s="1">
        <v>46073</v>
      </c>
      <c r="C139" t="s">
        <v>137</v>
      </c>
      <c r="D139" t="s">
        <v>13</v>
      </c>
      <c r="E139" t="s">
        <v>93</v>
      </c>
      <c r="F139">
        <v>1</v>
      </c>
      <c r="G139">
        <v>1499</v>
      </c>
      <c r="H139">
        <v>0.15</v>
      </c>
      <c r="I139" t="s">
        <v>22</v>
      </c>
      <c r="J139" t="s">
        <v>16</v>
      </c>
      <c r="K139" t="s">
        <v>17</v>
      </c>
      <c r="L139">
        <v>224.85000000000014</v>
      </c>
      <c r="M139">
        <v>1499</v>
      </c>
      <c r="N139">
        <v>1274.1499999999999</v>
      </c>
      <c r="O139">
        <v>1274.1499999999999</v>
      </c>
    </row>
    <row r="140" spans="1:15" x14ac:dyDescent="0.3">
      <c r="A140" t="s">
        <v>257</v>
      </c>
      <c r="B140" s="1">
        <v>46073</v>
      </c>
      <c r="C140" t="s">
        <v>175</v>
      </c>
      <c r="D140" t="s">
        <v>34</v>
      </c>
      <c r="E140" t="s">
        <v>63</v>
      </c>
      <c r="F140">
        <v>1</v>
      </c>
      <c r="G140">
        <v>599</v>
      </c>
      <c r="H140">
        <v>0.05</v>
      </c>
      <c r="I140" t="s">
        <v>36</v>
      </c>
      <c r="J140" t="s">
        <v>16</v>
      </c>
      <c r="K140" t="s">
        <v>50</v>
      </c>
      <c r="L140">
        <v>29.950000000000045</v>
      </c>
      <c r="M140">
        <v>599</v>
      </c>
      <c r="N140">
        <v>569.04999999999995</v>
      </c>
      <c r="O140">
        <v>0</v>
      </c>
    </row>
    <row r="141" spans="1:15" x14ac:dyDescent="0.3">
      <c r="A141" t="s">
        <v>258</v>
      </c>
      <c r="B141" s="1">
        <v>46073</v>
      </c>
      <c r="C141" t="s">
        <v>71</v>
      </c>
      <c r="D141" t="s">
        <v>20</v>
      </c>
      <c r="E141" t="s">
        <v>98</v>
      </c>
      <c r="F141">
        <v>1</v>
      </c>
      <c r="G141">
        <v>999</v>
      </c>
      <c r="H141">
        <v>0</v>
      </c>
      <c r="I141" t="s">
        <v>36</v>
      </c>
      <c r="J141" t="s">
        <v>47</v>
      </c>
      <c r="K141" t="s">
        <v>24</v>
      </c>
      <c r="L141">
        <v>0</v>
      </c>
      <c r="M141">
        <v>999</v>
      </c>
      <c r="N141">
        <v>999</v>
      </c>
      <c r="O141">
        <v>0</v>
      </c>
    </row>
    <row r="142" spans="1:15" x14ac:dyDescent="0.3">
      <c r="A142" t="s">
        <v>259</v>
      </c>
      <c r="B142" s="1">
        <v>46073</v>
      </c>
      <c r="C142" t="s">
        <v>260</v>
      </c>
      <c r="D142" t="s">
        <v>29</v>
      </c>
      <c r="E142" t="s">
        <v>122</v>
      </c>
      <c r="F142">
        <v>3</v>
      </c>
      <c r="G142">
        <v>249</v>
      </c>
      <c r="H142">
        <v>0</v>
      </c>
      <c r="I142" t="s">
        <v>22</v>
      </c>
      <c r="J142" t="s">
        <v>23</v>
      </c>
      <c r="K142" t="s">
        <v>17</v>
      </c>
      <c r="L142">
        <v>0</v>
      </c>
      <c r="M142">
        <v>747</v>
      </c>
      <c r="N142">
        <v>747</v>
      </c>
      <c r="O142">
        <v>747</v>
      </c>
    </row>
    <row r="143" spans="1:15" x14ac:dyDescent="0.3">
      <c r="A143" t="s">
        <v>261</v>
      </c>
      <c r="B143" s="1">
        <v>46074</v>
      </c>
      <c r="C143" t="s">
        <v>260</v>
      </c>
      <c r="D143" t="s">
        <v>13</v>
      </c>
      <c r="E143" t="s">
        <v>125</v>
      </c>
      <c r="F143">
        <v>1</v>
      </c>
      <c r="G143">
        <v>1199</v>
      </c>
      <c r="H143">
        <v>0.2</v>
      </c>
      <c r="I143" t="s">
        <v>40</v>
      </c>
      <c r="J143" t="s">
        <v>31</v>
      </c>
      <c r="K143" t="s">
        <v>50</v>
      </c>
      <c r="L143">
        <v>239.79999999999995</v>
      </c>
      <c r="M143">
        <v>1199</v>
      </c>
      <c r="N143">
        <v>959.2</v>
      </c>
      <c r="O143">
        <v>0</v>
      </c>
    </row>
    <row r="144" spans="1:15" x14ac:dyDescent="0.3">
      <c r="A144" t="s">
        <v>262</v>
      </c>
      <c r="B144" s="1">
        <v>46074</v>
      </c>
      <c r="C144" t="s">
        <v>263</v>
      </c>
      <c r="D144" t="s">
        <v>34</v>
      </c>
      <c r="E144" t="s">
        <v>63</v>
      </c>
      <c r="F144">
        <v>1</v>
      </c>
      <c r="G144">
        <v>599</v>
      </c>
      <c r="H144">
        <v>0</v>
      </c>
      <c r="I144" t="s">
        <v>22</v>
      </c>
      <c r="J144" t="s">
        <v>58</v>
      </c>
      <c r="K144" t="s">
        <v>17</v>
      </c>
      <c r="L144">
        <v>0</v>
      </c>
      <c r="M144">
        <v>599</v>
      </c>
      <c r="N144">
        <v>599</v>
      </c>
      <c r="O144">
        <v>599</v>
      </c>
    </row>
    <row r="145" spans="1:15" x14ac:dyDescent="0.3">
      <c r="A145" t="s">
        <v>264</v>
      </c>
      <c r="B145" s="1">
        <v>46075</v>
      </c>
      <c r="C145" t="s">
        <v>265</v>
      </c>
      <c r="D145" t="s">
        <v>13</v>
      </c>
      <c r="E145" t="s">
        <v>14</v>
      </c>
      <c r="F145">
        <v>1</v>
      </c>
      <c r="G145">
        <v>499</v>
      </c>
      <c r="H145">
        <v>0.05</v>
      </c>
      <c r="I145" t="s">
        <v>15</v>
      </c>
      <c r="J145" t="s">
        <v>47</v>
      </c>
      <c r="K145" t="s">
        <v>17</v>
      </c>
      <c r="L145">
        <v>24.950000000000045</v>
      </c>
      <c r="M145">
        <v>499</v>
      </c>
      <c r="N145">
        <v>474.04999999999995</v>
      </c>
      <c r="O145">
        <v>474.04999999999995</v>
      </c>
    </row>
    <row r="146" spans="1:15" x14ac:dyDescent="0.3">
      <c r="A146" t="s">
        <v>266</v>
      </c>
      <c r="B146" s="1">
        <v>46075</v>
      </c>
      <c r="C146" t="s">
        <v>161</v>
      </c>
      <c r="D146" t="s">
        <v>34</v>
      </c>
      <c r="E146" t="s">
        <v>63</v>
      </c>
      <c r="F146">
        <v>2</v>
      </c>
      <c r="G146">
        <v>599</v>
      </c>
      <c r="H146">
        <v>0.1</v>
      </c>
      <c r="I146" t="s">
        <v>36</v>
      </c>
      <c r="J146" t="s">
        <v>31</v>
      </c>
      <c r="K146" t="s">
        <v>24</v>
      </c>
      <c r="L146">
        <v>119.79999999999995</v>
      </c>
      <c r="M146">
        <v>1198</v>
      </c>
      <c r="N146">
        <v>1078.2</v>
      </c>
      <c r="O146">
        <v>0</v>
      </c>
    </row>
    <row r="147" spans="1:15" x14ac:dyDescent="0.3">
      <c r="A147" t="s">
        <v>267</v>
      </c>
      <c r="B147" s="1">
        <v>46075</v>
      </c>
      <c r="C147" t="s">
        <v>189</v>
      </c>
      <c r="D147" t="s">
        <v>13</v>
      </c>
      <c r="E147" t="s">
        <v>14</v>
      </c>
      <c r="F147">
        <v>1</v>
      </c>
      <c r="G147">
        <v>499</v>
      </c>
      <c r="H147">
        <v>0.2</v>
      </c>
      <c r="I147" t="s">
        <v>40</v>
      </c>
      <c r="J147" t="s">
        <v>47</v>
      </c>
      <c r="K147" t="s">
        <v>50</v>
      </c>
      <c r="L147">
        <v>99.799999999999955</v>
      </c>
      <c r="M147">
        <v>499</v>
      </c>
      <c r="N147">
        <v>399.20000000000005</v>
      </c>
      <c r="O147">
        <v>0</v>
      </c>
    </row>
    <row r="148" spans="1:15" x14ac:dyDescent="0.3">
      <c r="A148" t="s">
        <v>268</v>
      </c>
      <c r="B148" s="1">
        <v>46076</v>
      </c>
      <c r="C148" t="s">
        <v>130</v>
      </c>
      <c r="D148" t="s">
        <v>34</v>
      </c>
      <c r="E148" t="s">
        <v>39</v>
      </c>
      <c r="F148">
        <v>2</v>
      </c>
      <c r="G148">
        <v>499</v>
      </c>
      <c r="H148">
        <v>0</v>
      </c>
      <c r="I148" t="s">
        <v>15</v>
      </c>
      <c r="J148" t="s">
        <v>16</v>
      </c>
      <c r="K148" t="s">
        <v>50</v>
      </c>
      <c r="L148">
        <v>0</v>
      </c>
      <c r="M148">
        <v>998</v>
      </c>
      <c r="N148">
        <v>998</v>
      </c>
      <c r="O148">
        <v>0</v>
      </c>
    </row>
    <row r="149" spans="1:15" x14ac:dyDescent="0.3">
      <c r="A149" t="s">
        <v>269</v>
      </c>
      <c r="B149" s="1">
        <v>46077</v>
      </c>
      <c r="C149" t="s">
        <v>166</v>
      </c>
      <c r="D149" t="s">
        <v>34</v>
      </c>
      <c r="E149" t="s">
        <v>39</v>
      </c>
      <c r="F149">
        <v>1</v>
      </c>
      <c r="G149">
        <v>499</v>
      </c>
      <c r="H149">
        <v>0.2</v>
      </c>
      <c r="I149" t="s">
        <v>22</v>
      </c>
      <c r="J149" t="s">
        <v>16</v>
      </c>
      <c r="K149" t="s">
        <v>17</v>
      </c>
      <c r="L149">
        <v>99.799999999999955</v>
      </c>
      <c r="M149">
        <v>499</v>
      </c>
      <c r="N149">
        <v>399.20000000000005</v>
      </c>
      <c r="O149">
        <v>399.20000000000005</v>
      </c>
    </row>
    <row r="150" spans="1:15" x14ac:dyDescent="0.3">
      <c r="A150" t="s">
        <v>270</v>
      </c>
      <c r="B150" s="1">
        <v>46077</v>
      </c>
      <c r="C150" t="s">
        <v>209</v>
      </c>
      <c r="D150" t="s">
        <v>13</v>
      </c>
      <c r="E150" t="s">
        <v>93</v>
      </c>
      <c r="F150">
        <v>1</v>
      </c>
      <c r="G150">
        <v>1499</v>
      </c>
      <c r="H150">
        <v>0.05</v>
      </c>
      <c r="I150" t="s">
        <v>15</v>
      </c>
      <c r="J150" t="s">
        <v>23</v>
      </c>
      <c r="K150" t="s">
        <v>17</v>
      </c>
      <c r="L150">
        <v>74.950000000000045</v>
      </c>
      <c r="M150">
        <v>1499</v>
      </c>
      <c r="N150">
        <v>1424.05</v>
      </c>
      <c r="O150">
        <v>1424.05</v>
      </c>
    </row>
    <row r="151" spans="1:15" x14ac:dyDescent="0.3">
      <c r="A151" t="s">
        <v>271</v>
      </c>
      <c r="B151" s="1">
        <v>46077</v>
      </c>
      <c r="C151" t="s">
        <v>272</v>
      </c>
      <c r="D151" t="s">
        <v>20</v>
      </c>
      <c r="E151" t="s">
        <v>98</v>
      </c>
      <c r="F151">
        <v>2</v>
      </c>
      <c r="G151">
        <v>999</v>
      </c>
      <c r="H151">
        <v>0.15</v>
      </c>
      <c r="I151" t="s">
        <v>15</v>
      </c>
      <c r="J151" t="s">
        <v>16</v>
      </c>
      <c r="K151" t="s">
        <v>50</v>
      </c>
      <c r="L151">
        <v>299.70000000000005</v>
      </c>
      <c r="M151">
        <v>1998</v>
      </c>
      <c r="N151">
        <v>1698.3</v>
      </c>
      <c r="O151">
        <v>0</v>
      </c>
    </row>
    <row r="152" spans="1:15" x14ac:dyDescent="0.3">
      <c r="A152" t="s">
        <v>273</v>
      </c>
      <c r="B152" s="1">
        <v>46077</v>
      </c>
      <c r="C152" t="s">
        <v>230</v>
      </c>
      <c r="D152" t="s">
        <v>13</v>
      </c>
      <c r="E152" t="s">
        <v>93</v>
      </c>
      <c r="F152">
        <v>3</v>
      </c>
      <c r="G152">
        <v>1499</v>
      </c>
      <c r="H152">
        <v>0.1</v>
      </c>
      <c r="I152" t="s">
        <v>40</v>
      </c>
      <c r="J152" t="s">
        <v>16</v>
      </c>
      <c r="K152" t="s">
        <v>17</v>
      </c>
      <c r="L152">
        <v>449.69999999999982</v>
      </c>
      <c r="M152">
        <v>4497</v>
      </c>
      <c r="N152">
        <v>4047.3</v>
      </c>
      <c r="O152">
        <v>4047.3</v>
      </c>
    </row>
    <row r="153" spans="1:15" x14ac:dyDescent="0.3">
      <c r="A153" t="s">
        <v>274</v>
      </c>
      <c r="B153" s="1">
        <v>46077</v>
      </c>
      <c r="C153" t="s">
        <v>275</v>
      </c>
      <c r="D153" t="s">
        <v>34</v>
      </c>
      <c r="E153" t="s">
        <v>63</v>
      </c>
      <c r="F153">
        <v>2</v>
      </c>
      <c r="G153">
        <v>599</v>
      </c>
      <c r="H153">
        <v>0.1</v>
      </c>
      <c r="I153" t="s">
        <v>36</v>
      </c>
      <c r="J153" t="s">
        <v>16</v>
      </c>
      <c r="K153" t="s">
        <v>17</v>
      </c>
      <c r="L153">
        <v>119.79999999999995</v>
      </c>
      <c r="M153">
        <v>1198</v>
      </c>
      <c r="N153">
        <v>1078.2</v>
      </c>
      <c r="O153">
        <v>1078.2</v>
      </c>
    </row>
    <row r="154" spans="1:15" x14ac:dyDescent="0.3">
      <c r="A154" t="s">
        <v>276</v>
      </c>
      <c r="B154" s="1">
        <v>46078</v>
      </c>
      <c r="C154" t="s">
        <v>277</v>
      </c>
      <c r="D154" t="s">
        <v>13</v>
      </c>
      <c r="E154" t="s">
        <v>125</v>
      </c>
      <c r="F154">
        <v>2</v>
      </c>
      <c r="G154">
        <v>1199</v>
      </c>
      <c r="H154">
        <v>0.2</v>
      </c>
      <c r="I154" t="s">
        <v>15</v>
      </c>
      <c r="J154" t="s">
        <v>16</v>
      </c>
      <c r="K154" t="s">
        <v>17</v>
      </c>
      <c r="L154">
        <v>479.59999999999991</v>
      </c>
      <c r="M154">
        <v>2398</v>
      </c>
      <c r="N154">
        <v>1918.4</v>
      </c>
      <c r="O154">
        <v>1918.4</v>
      </c>
    </row>
    <row r="155" spans="1:15" x14ac:dyDescent="0.3">
      <c r="A155" t="s">
        <v>278</v>
      </c>
      <c r="B155" s="1">
        <v>46078</v>
      </c>
      <c r="C155" t="s">
        <v>192</v>
      </c>
      <c r="D155" t="s">
        <v>34</v>
      </c>
      <c r="E155" t="s">
        <v>108</v>
      </c>
      <c r="F155">
        <v>2</v>
      </c>
      <c r="G155">
        <v>1599</v>
      </c>
      <c r="H155">
        <v>0.2</v>
      </c>
      <c r="I155" t="s">
        <v>36</v>
      </c>
      <c r="J155" t="s">
        <v>16</v>
      </c>
      <c r="K155" t="s">
        <v>17</v>
      </c>
      <c r="L155">
        <v>639.59999999999991</v>
      </c>
      <c r="M155">
        <v>3198</v>
      </c>
      <c r="N155">
        <v>2558.4</v>
      </c>
      <c r="O155">
        <v>2558.4</v>
      </c>
    </row>
    <row r="156" spans="1:15" x14ac:dyDescent="0.3">
      <c r="A156" t="s">
        <v>279</v>
      </c>
      <c r="B156" s="1">
        <v>46079</v>
      </c>
      <c r="C156" t="s">
        <v>280</v>
      </c>
      <c r="D156" t="s">
        <v>13</v>
      </c>
      <c r="E156" t="s">
        <v>69</v>
      </c>
      <c r="F156">
        <v>1</v>
      </c>
      <c r="G156">
        <v>299</v>
      </c>
      <c r="H156">
        <v>0</v>
      </c>
      <c r="I156" t="s">
        <v>15</v>
      </c>
      <c r="J156" t="s">
        <v>31</v>
      </c>
      <c r="K156" t="s">
        <v>17</v>
      </c>
      <c r="L156">
        <v>0</v>
      </c>
      <c r="M156">
        <v>299</v>
      </c>
      <c r="N156">
        <v>299</v>
      </c>
      <c r="O156">
        <v>299</v>
      </c>
    </row>
    <row r="157" spans="1:15" x14ac:dyDescent="0.3">
      <c r="A157" t="s">
        <v>281</v>
      </c>
      <c r="B157" s="1">
        <v>46079</v>
      </c>
      <c r="C157" t="s">
        <v>182</v>
      </c>
      <c r="D157" t="s">
        <v>13</v>
      </c>
      <c r="E157" t="s">
        <v>93</v>
      </c>
      <c r="F157">
        <v>1</v>
      </c>
      <c r="G157">
        <v>1499</v>
      </c>
      <c r="H157">
        <v>0.2</v>
      </c>
      <c r="I157" t="s">
        <v>22</v>
      </c>
      <c r="J157" t="s">
        <v>31</v>
      </c>
      <c r="K157" t="s">
        <v>50</v>
      </c>
      <c r="L157">
        <v>299.79999999999995</v>
      </c>
      <c r="M157">
        <v>1499</v>
      </c>
      <c r="N157">
        <v>1199.2</v>
      </c>
      <c r="O157">
        <v>0</v>
      </c>
    </row>
    <row r="158" spans="1:15" x14ac:dyDescent="0.3">
      <c r="A158" t="s">
        <v>282</v>
      </c>
      <c r="B158" s="1">
        <v>46080</v>
      </c>
      <c r="C158" t="s">
        <v>194</v>
      </c>
      <c r="D158" t="s">
        <v>29</v>
      </c>
      <c r="E158" t="s">
        <v>46</v>
      </c>
      <c r="F158">
        <v>4</v>
      </c>
      <c r="G158">
        <v>199</v>
      </c>
      <c r="H158">
        <v>0.1</v>
      </c>
      <c r="I158" t="s">
        <v>15</v>
      </c>
      <c r="J158" t="s">
        <v>58</v>
      </c>
      <c r="K158" t="s">
        <v>17</v>
      </c>
      <c r="L158">
        <v>79.600000000000023</v>
      </c>
      <c r="M158">
        <v>796</v>
      </c>
      <c r="N158">
        <v>716.4</v>
      </c>
      <c r="O158">
        <v>716.4</v>
      </c>
    </row>
    <row r="159" spans="1:15" x14ac:dyDescent="0.3">
      <c r="A159" t="s">
        <v>283</v>
      </c>
      <c r="B159" s="1">
        <v>46080</v>
      </c>
      <c r="C159" t="s">
        <v>95</v>
      </c>
      <c r="D159" t="s">
        <v>13</v>
      </c>
      <c r="E159" t="s">
        <v>125</v>
      </c>
      <c r="F159">
        <v>3</v>
      </c>
      <c r="G159">
        <v>1199</v>
      </c>
      <c r="H159">
        <v>0</v>
      </c>
      <c r="I159" t="s">
        <v>22</v>
      </c>
      <c r="J159" t="s">
        <v>58</v>
      </c>
      <c r="K159" t="s">
        <v>50</v>
      </c>
      <c r="L159">
        <v>0</v>
      </c>
      <c r="M159">
        <v>3597</v>
      </c>
      <c r="N159">
        <v>3597</v>
      </c>
      <c r="O159">
        <v>0</v>
      </c>
    </row>
    <row r="160" spans="1:15" x14ac:dyDescent="0.3">
      <c r="A160" t="s">
        <v>284</v>
      </c>
      <c r="B160" s="1">
        <v>46080</v>
      </c>
      <c r="C160" t="s">
        <v>285</v>
      </c>
      <c r="D160" t="s">
        <v>29</v>
      </c>
      <c r="E160" t="s">
        <v>122</v>
      </c>
      <c r="F160">
        <v>1</v>
      </c>
      <c r="G160">
        <v>249</v>
      </c>
      <c r="H160">
        <v>0.1</v>
      </c>
      <c r="I160" t="s">
        <v>40</v>
      </c>
      <c r="J160" t="s">
        <v>31</v>
      </c>
      <c r="K160" t="s">
        <v>50</v>
      </c>
      <c r="L160">
        <v>24.900000000000006</v>
      </c>
      <c r="M160">
        <v>249</v>
      </c>
      <c r="N160">
        <v>224.1</v>
      </c>
      <c r="O160">
        <v>0</v>
      </c>
    </row>
    <row r="161" spans="1:15" x14ac:dyDescent="0.3">
      <c r="A161" t="s">
        <v>286</v>
      </c>
      <c r="B161" s="1">
        <v>46081</v>
      </c>
      <c r="C161" t="s">
        <v>81</v>
      </c>
      <c r="D161" t="s">
        <v>29</v>
      </c>
      <c r="E161" t="s">
        <v>46</v>
      </c>
      <c r="F161">
        <v>1</v>
      </c>
      <c r="G161">
        <v>199</v>
      </c>
      <c r="H161">
        <v>0</v>
      </c>
      <c r="I161" t="s">
        <v>15</v>
      </c>
      <c r="J161" t="s">
        <v>16</v>
      </c>
      <c r="K161" t="s">
        <v>50</v>
      </c>
      <c r="L161">
        <v>0</v>
      </c>
      <c r="M161">
        <v>199</v>
      </c>
      <c r="N161">
        <v>199</v>
      </c>
      <c r="O161">
        <v>0</v>
      </c>
    </row>
    <row r="162" spans="1:15" x14ac:dyDescent="0.3">
      <c r="A162" t="s">
        <v>287</v>
      </c>
      <c r="B162" s="1">
        <v>46081</v>
      </c>
      <c r="C162" t="s">
        <v>177</v>
      </c>
      <c r="D162" t="s">
        <v>13</v>
      </c>
      <c r="E162" t="s">
        <v>69</v>
      </c>
      <c r="F162">
        <v>2</v>
      </c>
      <c r="G162">
        <v>299</v>
      </c>
      <c r="H162">
        <v>0</v>
      </c>
      <c r="I162" t="s">
        <v>22</v>
      </c>
      <c r="J162" t="s">
        <v>16</v>
      </c>
      <c r="K162" t="s">
        <v>17</v>
      </c>
      <c r="L162">
        <v>0</v>
      </c>
      <c r="M162">
        <v>598</v>
      </c>
      <c r="N162">
        <v>598</v>
      </c>
      <c r="O162">
        <v>598</v>
      </c>
    </row>
    <row r="163" spans="1:15" x14ac:dyDescent="0.3">
      <c r="A163" t="s">
        <v>288</v>
      </c>
      <c r="B163" s="1">
        <v>46083</v>
      </c>
      <c r="C163" t="s">
        <v>62</v>
      </c>
      <c r="D163" t="s">
        <v>13</v>
      </c>
      <c r="E163" t="s">
        <v>93</v>
      </c>
      <c r="F163">
        <v>1</v>
      </c>
      <c r="G163">
        <v>1499</v>
      </c>
      <c r="H163">
        <v>0.05</v>
      </c>
      <c r="I163" t="s">
        <v>36</v>
      </c>
      <c r="J163" t="s">
        <v>58</v>
      </c>
      <c r="K163" t="s">
        <v>17</v>
      </c>
      <c r="L163">
        <v>74.950000000000045</v>
      </c>
      <c r="M163">
        <v>1499</v>
      </c>
      <c r="N163">
        <v>1424.05</v>
      </c>
      <c r="O163">
        <v>1424.05</v>
      </c>
    </row>
    <row r="164" spans="1:15" x14ac:dyDescent="0.3">
      <c r="A164" t="s">
        <v>289</v>
      </c>
      <c r="B164" s="1">
        <v>46083</v>
      </c>
      <c r="C164" t="s">
        <v>214</v>
      </c>
      <c r="D164" t="s">
        <v>34</v>
      </c>
      <c r="E164" t="s">
        <v>108</v>
      </c>
      <c r="F164">
        <v>5</v>
      </c>
      <c r="G164">
        <v>1599</v>
      </c>
      <c r="H164">
        <v>0</v>
      </c>
      <c r="I164" t="s">
        <v>36</v>
      </c>
      <c r="J164" t="s">
        <v>23</v>
      </c>
      <c r="K164" t="s">
        <v>50</v>
      </c>
      <c r="L164">
        <v>0</v>
      </c>
      <c r="M164">
        <v>7995</v>
      </c>
      <c r="N164">
        <v>7995</v>
      </c>
      <c r="O164">
        <v>0</v>
      </c>
    </row>
    <row r="165" spans="1:15" x14ac:dyDescent="0.3">
      <c r="A165" t="s">
        <v>290</v>
      </c>
      <c r="B165" s="1">
        <v>46083</v>
      </c>
      <c r="C165" t="s">
        <v>291</v>
      </c>
      <c r="D165" t="s">
        <v>20</v>
      </c>
      <c r="E165" t="s">
        <v>98</v>
      </c>
      <c r="F165">
        <v>5</v>
      </c>
      <c r="G165">
        <v>999</v>
      </c>
      <c r="H165">
        <v>0.1</v>
      </c>
      <c r="I165" t="s">
        <v>22</v>
      </c>
      <c r="J165" t="s">
        <v>23</v>
      </c>
      <c r="K165" t="s">
        <v>17</v>
      </c>
      <c r="L165">
        <v>499.5</v>
      </c>
      <c r="M165">
        <v>4995</v>
      </c>
      <c r="N165">
        <v>4495.5</v>
      </c>
      <c r="O165">
        <v>4495.5</v>
      </c>
    </row>
    <row r="166" spans="1:15" x14ac:dyDescent="0.3">
      <c r="A166" t="s">
        <v>292</v>
      </c>
      <c r="B166" s="1">
        <v>46083</v>
      </c>
      <c r="C166" t="s">
        <v>293</v>
      </c>
      <c r="D166" t="s">
        <v>20</v>
      </c>
      <c r="E166" t="s">
        <v>98</v>
      </c>
      <c r="F166">
        <v>1</v>
      </c>
      <c r="G166">
        <v>999</v>
      </c>
      <c r="H166">
        <v>0.15</v>
      </c>
      <c r="I166" t="s">
        <v>36</v>
      </c>
      <c r="J166" t="s">
        <v>23</v>
      </c>
      <c r="K166" t="s">
        <v>17</v>
      </c>
      <c r="L166">
        <v>149.85000000000002</v>
      </c>
      <c r="M166">
        <v>999</v>
      </c>
      <c r="N166">
        <v>849.15</v>
      </c>
      <c r="O166">
        <v>849.15</v>
      </c>
    </row>
    <row r="167" spans="1:15" x14ac:dyDescent="0.3">
      <c r="A167" t="s">
        <v>294</v>
      </c>
      <c r="B167" s="1">
        <v>46083</v>
      </c>
      <c r="C167" t="s">
        <v>263</v>
      </c>
      <c r="D167" t="s">
        <v>20</v>
      </c>
      <c r="E167" t="s">
        <v>98</v>
      </c>
      <c r="F167">
        <v>2</v>
      </c>
      <c r="G167">
        <v>999</v>
      </c>
      <c r="H167">
        <v>0.05</v>
      </c>
      <c r="I167" t="s">
        <v>36</v>
      </c>
      <c r="J167" t="s">
        <v>16</v>
      </c>
      <c r="K167" t="s">
        <v>50</v>
      </c>
      <c r="L167">
        <v>99.900000000000091</v>
      </c>
      <c r="M167">
        <v>1998</v>
      </c>
      <c r="N167">
        <v>1898.1</v>
      </c>
      <c r="O167">
        <v>0</v>
      </c>
    </row>
    <row r="168" spans="1:15" x14ac:dyDescent="0.3">
      <c r="A168" t="s">
        <v>295</v>
      </c>
      <c r="B168" s="1">
        <v>46083</v>
      </c>
      <c r="C168" t="s">
        <v>296</v>
      </c>
      <c r="D168" t="s">
        <v>20</v>
      </c>
      <c r="E168" t="s">
        <v>21</v>
      </c>
      <c r="F168">
        <v>1</v>
      </c>
      <c r="G168">
        <v>1299</v>
      </c>
      <c r="H168">
        <v>0.2</v>
      </c>
      <c r="I168" t="s">
        <v>36</v>
      </c>
      <c r="J168" t="s">
        <v>58</v>
      </c>
      <c r="K168" t="s">
        <v>17</v>
      </c>
      <c r="L168">
        <v>259.79999999999995</v>
      </c>
      <c r="M168">
        <v>1299</v>
      </c>
      <c r="N168">
        <v>1039.2</v>
      </c>
      <c r="O168">
        <v>1039.2</v>
      </c>
    </row>
    <row r="169" spans="1:15" x14ac:dyDescent="0.3">
      <c r="A169" t="s">
        <v>297</v>
      </c>
      <c r="B169" s="1">
        <v>46084</v>
      </c>
      <c r="C169" t="s">
        <v>298</v>
      </c>
      <c r="D169" t="s">
        <v>13</v>
      </c>
      <c r="E169" t="s">
        <v>69</v>
      </c>
      <c r="F169">
        <v>1</v>
      </c>
      <c r="G169">
        <v>299</v>
      </c>
      <c r="H169">
        <v>0.15</v>
      </c>
      <c r="I169" t="s">
        <v>22</v>
      </c>
      <c r="J169" t="s">
        <v>31</v>
      </c>
      <c r="K169" t="s">
        <v>17</v>
      </c>
      <c r="L169">
        <v>44.849999999999994</v>
      </c>
      <c r="M169">
        <v>299</v>
      </c>
      <c r="N169">
        <v>254.15</v>
      </c>
      <c r="O169">
        <v>254.15</v>
      </c>
    </row>
    <row r="170" spans="1:15" x14ac:dyDescent="0.3">
      <c r="A170" t="s">
        <v>299</v>
      </c>
      <c r="B170" s="1">
        <v>46084</v>
      </c>
      <c r="C170" t="s">
        <v>300</v>
      </c>
      <c r="D170" t="s">
        <v>13</v>
      </c>
      <c r="E170" t="s">
        <v>14</v>
      </c>
      <c r="F170">
        <v>3</v>
      </c>
      <c r="G170">
        <v>499</v>
      </c>
      <c r="H170">
        <v>0</v>
      </c>
      <c r="I170" t="s">
        <v>15</v>
      </c>
      <c r="J170" t="s">
        <v>16</v>
      </c>
      <c r="K170" t="s">
        <v>17</v>
      </c>
      <c r="L170">
        <v>0</v>
      </c>
      <c r="M170">
        <v>1497</v>
      </c>
      <c r="N170">
        <v>1497</v>
      </c>
      <c r="O170">
        <v>1497</v>
      </c>
    </row>
    <row r="171" spans="1:15" x14ac:dyDescent="0.3">
      <c r="A171" t="s">
        <v>301</v>
      </c>
      <c r="B171" s="1">
        <v>46085</v>
      </c>
      <c r="C171" t="s">
        <v>148</v>
      </c>
      <c r="D171" t="s">
        <v>29</v>
      </c>
      <c r="E171" t="s">
        <v>122</v>
      </c>
      <c r="F171">
        <v>1</v>
      </c>
      <c r="G171">
        <v>249</v>
      </c>
      <c r="H171">
        <v>0.2</v>
      </c>
      <c r="I171" t="s">
        <v>15</v>
      </c>
      <c r="J171" t="s">
        <v>47</v>
      </c>
      <c r="K171" t="s">
        <v>17</v>
      </c>
      <c r="L171">
        <v>49.799999999999983</v>
      </c>
      <c r="M171">
        <v>249</v>
      </c>
      <c r="N171">
        <v>199.20000000000002</v>
      </c>
      <c r="O171">
        <v>199.20000000000002</v>
      </c>
    </row>
    <row r="172" spans="1:15" x14ac:dyDescent="0.3">
      <c r="A172" t="s">
        <v>302</v>
      </c>
      <c r="B172" s="1">
        <v>46085</v>
      </c>
      <c r="C172" t="s">
        <v>196</v>
      </c>
      <c r="D172" t="s">
        <v>29</v>
      </c>
      <c r="E172" t="s">
        <v>77</v>
      </c>
      <c r="F172">
        <v>1</v>
      </c>
      <c r="G172">
        <v>399</v>
      </c>
      <c r="H172">
        <v>0</v>
      </c>
      <c r="I172" t="s">
        <v>40</v>
      </c>
      <c r="J172" t="s">
        <v>58</v>
      </c>
      <c r="K172" t="s">
        <v>17</v>
      </c>
      <c r="L172">
        <v>0</v>
      </c>
      <c r="M172">
        <v>399</v>
      </c>
      <c r="N172">
        <v>399</v>
      </c>
      <c r="O172">
        <v>399</v>
      </c>
    </row>
    <row r="173" spans="1:15" x14ac:dyDescent="0.3">
      <c r="A173" t="s">
        <v>303</v>
      </c>
      <c r="B173" s="1">
        <v>46085</v>
      </c>
      <c r="C173" t="s">
        <v>81</v>
      </c>
      <c r="D173" t="s">
        <v>13</v>
      </c>
      <c r="E173" t="s">
        <v>69</v>
      </c>
      <c r="F173">
        <v>4</v>
      </c>
      <c r="G173">
        <v>299</v>
      </c>
      <c r="H173">
        <v>0</v>
      </c>
      <c r="I173" t="s">
        <v>15</v>
      </c>
      <c r="J173" t="s">
        <v>23</v>
      </c>
      <c r="K173" t="s">
        <v>17</v>
      </c>
      <c r="L173">
        <v>0</v>
      </c>
      <c r="M173">
        <v>1196</v>
      </c>
      <c r="N173">
        <v>1196</v>
      </c>
      <c r="O173">
        <v>1196</v>
      </c>
    </row>
    <row r="174" spans="1:15" x14ac:dyDescent="0.3">
      <c r="A174" t="s">
        <v>304</v>
      </c>
      <c r="B174" s="1">
        <v>46086</v>
      </c>
      <c r="C174" t="s">
        <v>184</v>
      </c>
      <c r="D174" t="s">
        <v>13</v>
      </c>
      <c r="E174" t="s">
        <v>14</v>
      </c>
      <c r="F174">
        <v>2</v>
      </c>
      <c r="G174">
        <v>499</v>
      </c>
      <c r="H174">
        <v>0.2</v>
      </c>
      <c r="I174" t="s">
        <v>36</v>
      </c>
      <c r="J174" t="s">
        <v>16</v>
      </c>
      <c r="K174" t="s">
        <v>17</v>
      </c>
      <c r="L174">
        <v>199.59999999999991</v>
      </c>
      <c r="M174">
        <v>998</v>
      </c>
      <c r="N174">
        <v>798.40000000000009</v>
      </c>
      <c r="O174">
        <v>798.40000000000009</v>
      </c>
    </row>
    <row r="175" spans="1:15" x14ac:dyDescent="0.3">
      <c r="A175" t="s">
        <v>305</v>
      </c>
      <c r="B175" s="1">
        <v>46086</v>
      </c>
      <c r="C175" t="s">
        <v>92</v>
      </c>
      <c r="D175" t="s">
        <v>13</v>
      </c>
      <c r="E175" t="s">
        <v>231</v>
      </c>
      <c r="F175">
        <v>1</v>
      </c>
      <c r="G175">
        <v>699</v>
      </c>
      <c r="H175">
        <v>0</v>
      </c>
      <c r="I175" t="s">
        <v>36</v>
      </c>
      <c r="J175" t="s">
        <v>16</v>
      </c>
      <c r="K175" t="s">
        <v>24</v>
      </c>
      <c r="L175">
        <v>0</v>
      </c>
      <c r="M175">
        <v>699</v>
      </c>
      <c r="N175">
        <v>699</v>
      </c>
      <c r="O175">
        <v>0</v>
      </c>
    </row>
    <row r="176" spans="1:15" x14ac:dyDescent="0.3">
      <c r="A176" t="s">
        <v>306</v>
      </c>
      <c r="B176" s="1">
        <v>46086</v>
      </c>
      <c r="C176" t="s">
        <v>76</v>
      </c>
      <c r="D176" t="s">
        <v>34</v>
      </c>
      <c r="E176" t="s">
        <v>39</v>
      </c>
      <c r="F176">
        <v>3</v>
      </c>
      <c r="G176">
        <v>499</v>
      </c>
      <c r="H176">
        <v>0.2</v>
      </c>
      <c r="I176" t="s">
        <v>36</v>
      </c>
      <c r="J176" t="s">
        <v>58</v>
      </c>
      <c r="K176" t="s">
        <v>17</v>
      </c>
      <c r="L176">
        <v>299.39999999999986</v>
      </c>
      <c r="M176">
        <v>1497</v>
      </c>
      <c r="N176">
        <v>1197.6000000000001</v>
      </c>
      <c r="O176">
        <v>1197.6000000000001</v>
      </c>
    </row>
    <row r="177" spans="1:15" x14ac:dyDescent="0.3">
      <c r="A177" t="s">
        <v>307</v>
      </c>
      <c r="B177" s="1">
        <v>46088</v>
      </c>
      <c r="C177" t="s">
        <v>110</v>
      </c>
      <c r="D177" t="s">
        <v>29</v>
      </c>
      <c r="E177" t="s">
        <v>85</v>
      </c>
      <c r="F177">
        <v>1</v>
      </c>
      <c r="G177">
        <v>299</v>
      </c>
      <c r="H177">
        <v>0.2</v>
      </c>
      <c r="I177" t="s">
        <v>40</v>
      </c>
      <c r="J177" t="s">
        <v>58</v>
      </c>
      <c r="K177" t="s">
        <v>17</v>
      </c>
      <c r="L177">
        <v>59.799999999999983</v>
      </c>
      <c r="M177">
        <v>299</v>
      </c>
      <c r="N177">
        <v>239.20000000000002</v>
      </c>
      <c r="O177">
        <v>239.20000000000002</v>
      </c>
    </row>
    <row r="178" spans="1:15" x14ac:dyDescent="0.3">
      <c r="A178" t="s">
        <v>308</v>
      </c>
      <c r="B178" s="1">
        <v>46088</v>
      </c>
      <c r="C178" t="s">
        <v>309</v>
      </c>
      <c r="D178" t="s">
        <v>34</v>
      </c>
      <c r="E178" t="s">
        <v>53</v>
      </c>
      <c r="F178">
        <v>2</v>
      </c>
      <c r="G178">
        <v>899</v>
      </c>
      <c r="H178">
        <v>0</v>
      </c>
      <c r="I178" t="s">
        <v>15</v>
      </c>
      <c r="J178" t="s">
        <v>31</v>
      </c>
      <c r="K178" t="s">
        <v>17</v>
      </c>
      <c r="L178">
        <v>0</v>
      </c>
      <c r="M178">
        <v>1798</v>
      </c>
      <c r="N178">
        <v>1798</v>
      </c>
      <c r="O178">
        <v>1798</v>
      </c>
    </row>
    <row r="179" spans="1:15" x14ac:dyDescent="0.3">
      <c r="A179" t="s">
        <v>310</v>
      </c>
      <c r="B179" s="1">
        <v>46088</v>
      </c>
      <c r="C179" t="s">
        <v>184</v>
      </c>
      <c r="D179" t="s">
        <v>13</v>
      </c>
      <c r="E179" t="s">
        <v>93</v>
      </c>
      <c r="F179">
        <v>1</v>
      </c>
      <c r="G179">
        <v>1499</v>
      </c>
      <c r="H179">
        <v>0.2</v>
      </c>
      <c r="I179" t="s">
        <v>22</v>
      </c>
      <c r="J179" t="s">
        <v>16</v>
      </c>
      <c r="K179" t="s">
        <v>50</v>
      </c>
      <c r="L179">
        <v>299.79999999999995</v>
      </c>
      <c r="M179">
        <v>1499</v>
      </c>
      <c r="N179">
        <v>1199.2</v>
      </c>
      <c r="O179">
        <v>0</v>
      </c>
    </row>
    <row r="180" spans="1:15" x14ac:dyDescent="0.3">
      <c r="A180" t="s">
        <v>311</v>
      </c>
      <c r="B180" s="1">
        <v>46088</v>
      </c>
      <c r="C180" t="s">
        <v>52</v>
      </c>
      <c r="D180" t="s">
        <v>29</v>
      </c>
      <c r="E180" t="s">
        <v>46</v>
      </c>
      <c r="F180">
        <v>2</v>
      </c>
      <c r="G180">
        <v>199</v>
      </c>
      <c r="H180">
        <v>0.15</v>
      </c>
      <c r="I180" t="s">
        <v>22</v>
      </c>
      <c r="J180" t="s">
        <v>23</v>
      </c>
      <c r="K180" t="s">
        <v>24</v>
      </c>
      <c r="L180">
        <v>59.699999999999989</v>
      </c>
      <c r="M180">
        <v>398</v>
      </c>
      <c r="N180">
        <v>338.3</v>
      </c>
      <c r="O180">
        <v>0</v>
      </c>
    </row>
    <row r="181" spans="1:15" x14ac:dyDescent="0.3">
      <c r="A181" t="s">
        <v>312</v>
      </c>
      <c r="B181" s="1">
        <v>46088</v>
      </c>
      <c r="C181" t="s">
        <v>110</v>
      </c>
      <c r="D181" t="s">
        <v>20</v>
      </c>
      <c r="E181" t="s">
        <v>98</v>
      </c>
      <c r="F181">
        <v>3</v>
      </c>
      <c r="G181">
        <v>999</v>
      </c>
      <c r="H181">
        <v>0</v>
      </c>
      <c r="I181" t="s">
        <v>15</v>
      </c>
      <c r="J181" t="s">
        <v>16</v>
      </c>
      <c r="K181" t="s">
        <v>17</v>
      </c>
      <c r="L181">
        <v>0</v>
      </c>
      <c r="M181">
        <v>2997</v>
      </c>
      <c r="N181">
        <v>2997</v>
      </c>
      <c r="O181">
        <v>2997</v>
      </c>
    </row>
    <row r="182" spans="1:15" x14ac:dyDescent="0.3">
      <c r="A182" t="s">
        <v>313</v>
      </c>
      <c r="B182" s="1">
        <v>46089</v>
      </c>
      <c r="C182" t="s">
        <v>184</v>
      </c>
      <c r="D182" t="s">
        <v>20</v>
      </c>
      <c r="E182" t="s">
        <v>72</v>
      </c>
      <c r="F182">
        <v>1</v>
      </c>
      <c r="G182">
        <v>1799</v>
      </c>
      <c r="H182">
        <v>0.15</v>
      </c>
      <c r="I182" t="s">
        <v>40</v>
      </c>
      <c r="J182" t="s">
        <v>58</v>
      </c>
      <c r="K182" t="s">
        <v>24</v>
      </c>
      <c r="L182">
        <v>269.85000000000014</v>
      </c>
      <c r="M182">
        <v>1799</v>
      </c>
      <c r="N182">
        <v>1529.1499999999999</v>
      </c>
      <c r="O182">
        <v>0</v>
      </c>
    </row>
    <row r="183" spans="1:15" x14ac:dyDescent="0.3">
      <c r="A183" t="s">
        <v>314</v>
      </c>
      <c r="B183" s="1">
        <v>46090</v>
      </c>
      <c r="C183" t="s">
        <v>44</v>
      </c>
      <c r="D183" t="s">
        <v>34</v>
      </c>
      <c r="E183" t="s">
        <v>53</v>
      </c>
      <c r="F183">
        <v>2</v>
      </c>
      <c r="G183">
        <v>899</v>
      </c>
      <c r="H183">
        <v>0</v>
      </c>
      <c r="I183" t="s">
        <v>22</v>
      </c>
      <c r="J183" t="s">
        <v>16</v>
      </c>
      <c r="K183" t="s">
        <v>24</v>
      </c>
      <c r="L183">
        <v>0</v>
      </c>
      <c r="M183">
        <v>1798</v>
      </c>
      <c r="N183">
        <v>1798</v>
      </c>
      <c r="O183">
        <v>0</v>
      </c>
    </row>
    <row r="184" spans="1:15" x14ac:dyDescent="0.3">
      <c r="A184" t="s">
        <v>315</v>
      </c>
      <c r="B184" s="1">
        <v>46091</v>
      </c>
      <c r="C184" t="s">
        <v>298</v>
      </c>
      <c r="D184" t="s">
        <v>20</v>
      </c>
      <c r="E184" t="s">
        <v>82</v>
      </c>
      <c r="F184">
        <v>1</v>
      </c>
      <c r="G184">
        <v>2299</v>
      </c>
      <c r="H184">
        <v>0.15</v>
      </c>
      <c r="I184" t="s">
        <v>22</v>
      </c>
      <c r="J184" t="s">
        <v>31</v>
      </c>
      <c r="K184" t="s">
        <v>17</v>
      </c>
      <c r="L184">
        <v>344.85000000000014</v>
      </c>
      <c r="M184">
        <v>2299</v>
      </c>
      <c r="N184">
        <v>1954.1499999999999</v>
      </c>
      <c r="O184">
        <v>1954.1499999999999</v>
      </c>
    </row>
    <row r="185" spans="1:15" x14ac:dyDescent="0.3">
      <c r="A185" t="s">
        <v>316</v>
      </c>
      <c r="B185" s="1">
        <v>46092</v>
      </c>
      <c r="C185" t="s">
        <v>119</v>
      </c>
      <c r="D185" t="s">
        <v>13</v>
      </c>
      <c r="E185" t="s">
        <v>93</v>
      </c>
      <c r="F185">
        <v>1</v>
      </c>
      <c r="G185">
        <v>1499</v>
      </c>
      <c r="H185">
        <v>0.1</v>
      </c>
      <c r="I185" t="s">
        <v>36</v>
      </c>
      <c r="J185" t="s">
        <v>58</v>
      </c>
      <c r="K185" t="s">
        <v>17</v>
      </c>
      <c r="L185">
        <v>149.89999999999986</v>
      </c>
      <c r="M185">
        <v>1499</v>
      </c>
      <c r="N185">
        <v>1349.1000000000001</v>
      </c>
      <c r="O185">
        <v>1349.1000000000001</v>
      </c>
    </row>
    <row r="186" spans="1:15" x14ac:dyDescent="0.3">
      <c r="A186" t="s">
        <v>317</v>
      </c>
      <c r="B186" s="1">
        <v>46092</v>
      </c>
      <c r="C186" t="s">
        <v>105</v>
      </c>
      <c r="D186" t="s">
        <v>13</v>
      </c>
      <c r="E186" t="s">
        <v>14</v>
      </c>
      <c r="F186">
        <v>3</v>
      </c>
      <c r="G186">
        <v>499</v>
      </c>
      <c r="H186">
        <v>0.15</v>
      </c>
      <c r="I186" t="s">
        <v>36</v>
      </c>
      <c r="J186" t="s">
        <v>16</v>
      </c>
      <c r="K186" t="s">
        <v>17</v>
      </c>
      <c r="L186">
        <v>224.54999999999995</v>
      </c>
      <c r="M186">
        <v>1497</v>
      </c>
      <c r="N186">
        <v>1272.45</v>
      </c>
      <c r="O186">
        <v>1272.45</v>
      </c>
    </row>
    <row r="187" spans="1:15" x14ac:dyDescent="0.3">
      <c r="A187" t="s">
        <v>318</v>
      </c>
      <c r="B187" s="1">
        <v>46092</v>
      </c>
      <c r="C187" t="s">
        <v>107</v>
      </c>
      <c r="D187" t="s">
        <v>34</v>
      </c>
      <c r="E187" t="s">
        <v>39</v>
      </c>
      <c r="F187">
        <v>4</v>
      </c>
      <c r="G187">
        <v>499</v>
      </c>
      <c r="H187">
        <v>0.15</v>
      </c>
      <c r="I187" t="s">
        <v>22</v>
      </c>
      <c r="J187" t="s">
        <v>47</v>
      </c>
      <c r="K187" t="s">
        <v>17</v>
      </c>
      <c r="L187">
        <v>299.40000000000009</v>
      </c>
      <c r="M187">
        <v>1996</v>
      </c>
      <c r="N187">
        <v>1696.6</v>
      </c>
      <c r="O187">
        <v>1696.6</v>
      </c>
    </row>
    <row r="188" spans="1:15" x14ac:dyDescent="0.3">
      <c r="A188" t="s">
        <v>319</v>
      </c>
      <c r="B188" s="1">
        <v>46092</v>
      </c>
      <c r="C188" t="s">
        <v>182</v>
      </c>
      <c r="D188" t="s">
        <v>20</v>
      </c>
      <c r="E188" t="s">
        <v>98</v>
      </c>
      <c r="F188">
        <v>2</v>
      </c>
      <c r="G188">
        <v>999</v>
      </c>
      <c r="H188">
        <v>0.2</v>
      </c>
      <c r="I188" t="s">
        <v>15</v>
      </c>
      <c r="J188" t="s">
        <v>58</v>
      </c>
      <c r="K188" t="s">
        <v>17</v>
      </c>
      <c r="L188">
        <v>399.59999999999991</v>
      </c>
      <c r="M188">
        <v>1998</v>
      </c>
      <c r="N188">
        <v>1598.4</v>
      </c>
      <c r="O188">
        <v>1598.4</v>
      </c>
    </row>
    <row r="189" spans="1:15" x14ac:dyDescent="0.3">
      <c r="A189" t="s">
        <v>320</v>
      </c>
      <c r="B189" s="1">
        <v>46092</v>
      </c>
      <c r="C189" t="s">
        <v>28</v>
      </c>
      <c r="D189" t="s">
        <v>20</v>
      </c>
      <c r="E189" t="s">
        <v>82</v>
      </c>
      <c r="F189">
        <v>1</v>
      </c>
      <c r="G189">
        <v>2299</v>
      </c>
      <c r="H189">
        <v>0.15</v>
      </c>
      <c r="I189" t="s">
        <v>36</v>
      </c>
      <c r="J189" t="s">
        <v>16</v>
      </c>
      <c r="K189" t="s">
        <v>24</v>
      </c>
      <c r="L189">
        <v>344.85000000000014</v>
      </c>
      <c r="M189">
        <v>2299</v>
      </c>
      <c r="N189">
        <v>1954.1499999999999</v>
      </c>
      <c r="O189">
        <v>0</v>
      </c>
    </row>
    <row r="190" spans="1:15" x14ac:dyDescent="0.3">
      <c r="A190" t="s">
        <v>321</v>
      </c>
      <c r="B190" s="1">
        <v>46092</v>
      </c>
      <c r="C190" t="s">
        <v>112</v>
      </c>
      <c r="D190" t="s">
        <v>20</v>
      </c>
      <c r="E190" t="s">
        <v>72</v>
      </c>
      <c r="F190">
        <v>1</v>
      </c>
      <c r="G190">
        <v>1799</v>
      </c>
      <c r="H190">
        <v>0.2</v>
      </c>
      <c r="I190" t="s">
        <v>40</v>
      </c>
      <c r="J190" t="s">
        <v>31</v>
      </c>
      <c r="K190" t="s">
        <v>17</v>
      </c>
      <c r="L190">
        <v>359.79999999999995</v>
      </c>
      <c r="M190">
        <v>1799</v>
      </c>
      <c r="N190">
        <v>1439.2</v>
      </c>
      <c r="O190">
        <v>1439.2</v>
      </c>
    </row>
    <row r="191" spans="1:15" x14ac:dyDescent="0.3">
      <c r="A191" t="s">
        <v>322</v>
      </c>
      <c r="B191" s="1">
        <v>46093</v>
      </c>
      <c r="C191" t="s">
        <v>272</v>
      </c>
      <c r="D191" t="s">
        <v>20</v>
      </c>
      <c r="E191" t="s">
        <v>98</v>
      </c>
      <c r="F191">
        <v>4</v>
      </c>
      <c r="G191">
        <v>999</v>
      </c>
      <c r="H191">
        <v>0.15</v>
      </c>
      <c r="I191" t="s">
        <v>40</v>
      </c>
      <c r="J191" t="s">
        <v>58</v>
      </c>
      <c r="K191" t="s">
        <v>50</v>
      </c>
      <c r="L191">
        <v>599.40000000000009</v>
      </c>
      <c r="M191">
        <v>3996</v>
      </c>
      <c r="N191">
        <v>3396.6</v>
      </c>
      <c r="O191">
        <v>0</v>
      </c>
    </row>
    <row r="192" spans="1:15" x14ac:dyDescent="0.3">
      <c r="A192" t="s">
        <v>323</v>
      </c>
      <c r="B192" s="1">
        <v>46093</v>
      </c>
      <c r="C192" t="s">
        <v>263</v>
      </c>
      <c r="D192" t="s">
        <v>13</v>
      </c>
      <c r="E192" t="s">
        <v>14</v>
      </c>
      <c r="F192">
        <v>4</v>
      </c>
      <c r="G192">
        <v>499</v>
      </c>
      <c r="H192">
        <v>0.05</v>
      </c>
      <c r="I192" t="s">
        <v>36</v>
      </c>
      <c r="J192" t="s">
        <v>16</v>
      </c>
      <c r="K192" t="s">
        <v>17</v>
      </c>
      <c r="L192">
        <v>99.800000000000182</v>
      </c>
      <c r="M192">
        <v>1996</v>
      </c>
      <c r="N192">
        <v>1896.1999999999998</v>
      </c>
      <c r="O192">
        <v>1896.1999999999998</v>
      </c>
    </row>
    <row r="193" spans="1:15" x14ac:dyDescent="0.3">
      <c r="A193" t="s">
        <v>324</v>
      </c>
      <c r="B193" s="1">
        <v>46093</v>
      </c>
      <c r="C193" t="s">
        <v>260</v>
      </c>
      <c r="D193" t="s">
        <v>20</v>
      </c>
      <c r="E193" t="s">
        <v>72</v>
      </c>
      <c r="F193">
        <v>1</v>
      </c>
      <c r="G193">
        <v>1799</v>
      </c>
      <c r="H193">
        <v>0.2</v>
      </c>
      <c r="I193" t="s">
        <v>22</v>
      </c>
      <c r="J193" t="s">
        <v>23</v>
      </c>
      <c r="K193" t="s">
        <v>50</v>
      </c>
      <c r="L193">
        <v>359.79999999999995</v>
      </c>
      <c r="M193">
        <v>1799</v>
      </c>
      <c r="N193">
        <v>1439.2</v>
      </c>
      <c r="O193">
        <v>0</v>
      </c>
    </row>
    <row r="194" spans="1:15" x14ac:dyDescent="0.3">
      <c r="A194" t="s">
        <v>325</v>
      </c>
      <c r="B194" s="1">
        <v>46094</v>
      </c>
      <c r="C194" t="s">
        <v>189</v>
      </c>
      <c r="D194" t="s">
        <v>34</v>
      </c>
      <c r="E194" t="s">
        <v>35</v>
      </c>
      <c r="F194">
        <v>4</v>
      </c>
      <c r="G194">
        <v>6499</v>
      </c>
      <c r="H194">
        <v>0.1</v>
      </c>
      <c r="I194" t="s">
        <v>40</v>
      </c>
      <c r="J194" t="s">
        <v>23</v>
      </c>
      <c r="K194" t="s">
        <v>17</v>
      </c>
      <c r="L194">
        <v>2599.5999999999985</v>
      </c>
      <c r="M194">
        <v>25996</v>
      </c>
      <c r="N194">
        <v>23396.400000000001</v>
      </c>
      <c r="O194">
        <v>23396.400000000001</v>
      </c>
    </row>
    <row r="195" spans="1:15" x14ac:dyDescent="0.3">
      <c r="A195" t="s">
        <v>326</v>
      </c>
      <c r="B195" s="1">
        <v>46095</v>
      </c>
      <c r="C195" t="s">
        <v>217</v>
      </c>
      <c r="D195" t="s">
        <v>29</v>
      </c>
      <c r="E195" t="s">
        <v>122</v>
      </c>
      <c r="F195">
        <v>1</v>
      </c>
      <c r="G195">
        <v>249</v>
      </c>
      <c r="H195">
        <v>0.05</v>
      </c>
      <c r="I195" t="s">
        <v>22</v>
      </c>
      <c r="J195" t="s">
        <v>16</v>
      </c>
      <c r="K195" t="s">
        <v>50</v>
      </c>
      <c r="L195">
        <v>12.450000000000017</v>
      </c>
      <c r="M195">
        <v>249</v>
      </c>
      <c r="N195">
        <v>236.54999999999998</v>
      </c>
      <c r="O195">
        <v>0</v>
      </c>
    </row>
    <row r="196" spans="1:15" x14ac:dyDescent="0.3">
      <c r="A196" t="s">
        <v>327</v>
      </c>
      <c r="B196" s="1">
        <v>46095</v>
      </c>
      <c r="C196" t="s">
        <v>209</v>
      </c>
      <c r="D196" t="s">
        <v>13</v>
      </c>
      <c r="E196" t="s">
        <v>14</v>
      </c>
      <c r="F196">
        <v>2</v>
      </c>
      <c r="G196">
        <v>499</v>
      </c>
      <c r="H196">
        <v>0.2</v>
      </c>
      <c r="I196" t="s">
        <v>36</v>
      </c>
      <c r="J196" t="s">
        <v>47</v>
      </c>
      <c r="K196" t="s">
        <v>50</v>
      </c>
      <c r="L196">
        <v>199.59999999999991</v>
      </c>
      <c r="M196">
        <v>998</v>
      </c>
      <c r="N196">
        <v>798.40000000000009</v>
      </c>
      <c r="O196">
        <v>0</v>
      </c>
    </row>
    <row r="197" spans="1:15" x14ac:dyDescent="0.3">
      <c r="A197" t="s">
        <v>328</v>
      </c>
      <c r="B197" s="1">
        <v>46096</v>
      </c>
      <c r="C197" t="s">
        <v>19</v>
      </c>
      <c r="D197" t="s">
        <v>20</v>
      </c>
      <c r="E197" t="s">
        <v>72</v>
      </c>
      <c r="F197">
        <v>2</v>
      </c>
      <c r="G197">
        <v>1799</v>
      </c>
      <c r="H197">
        <v>0.2</v>
      </c>
      <c r="I197" t="s">
        <v>36</v>
      </c>
      <c r="J197" t="s">
        <v>31</v>
      </c>
      <c r="K197" t="s">
        <v>24</v>
      </c>
      <c r="L197">
        <v>719.59999999999991</v>
      </c>
      <c r="M197">
        <v>3598</v>
      </c>
      <c r="N197">
        <v>2878.4</v>
      </c>
      <c r="O197">
        <v>0</v>
      </c>
    </row>
    <row r="198" spans="1:15" x14ac:dyDescent="0.3">
      <c r="A198" t="s">
        <v>329</v>
      </c>
      <c r="B198" s="1">
        <v>46096</v>
      </c>
      <c r="C198" t="s">
        <v>146</v>
      </c>
      <c r="D198" t="s">
        <v>20</v>
      </c>
      <c r="E198" t="s">
        <v>82</v>
      </c>
      <c r="F198">
        <v>3</v>
      </c>
      <c r="G198">
        <v>2299</v>
      </c>
      <c r="H198">
        <v>0.15</v>
      </c>
      <c r="I198" t="s">
        <v>36</v>
      </c>
      <c r="J198" t="s">
        <v>16</v>
      </c>
      <c r="K198" t="s">
        <v>17</v>
      </c>
      <c r="L198">
        <v>1034.5500000000002</v>
      </c>
      <c r="M198">
        <v>6897</v>
      </c>
      <c r="N198">
        <v>5862.45</v>
      </c>
      <c r="O198">
        <v>5862.45</v>
      </c>
    </row>
    <row r="199" spans="1:15" x14ac:dyDescent="0.3">
      <c r="A199" t="s">
        <v>330</v>
      </c>
      <c r="B199" s="1">
        <v>46096</v>
      </c>
      <c r="C199" t="s">
        <v>26</v>
      </c>
      <c r="D199" t="s">
        <v>29</v>
      </c>
      <c r="E199" t="s">
        <v>85</v>
      </c>
      <c r="F199">
        <v>3</v>
      </c>
      <c r="G199">
        <v>299</v>
      </c>
      <c r="H199">
        <v>0.1</v>
      </c>
      <c r="I199" t="s">
        <v>36</v>
      </c>
      <c r="J199" t="s">
        <v>31</v>
      </c>
      <c r="K199" t="s">
        <v>24</v>
      </c>
      <c r="L199">
        <v>89.699999999999932</v>
      </c>
      <c r="M199">
        <v>897</v>
      </c>
      <c r="N199">
        <v>807.30000000000007</v>
      </c>
      <c r="O199">
        <v>0</v>
      </c>
    </row>
    <row r="200" spans="1:15" x14ac:dyDescent="0.3">
      <c r="A200" t="s">
        <v>331</v>
      </c>
      <c r="B200" s="1">
        <v>46097</v>
      </c>
      <c r="C200" t="s">
        <v>65</v>
      </c>
      <c r="D200" t="s">
        <v>13</v>
      </c>
      <c r="E200" t="s">
        <v>69</v>
      </c>
      <c r="F200">
        <v>1</v>
      </c>
      <c r="G200">
        <v>299</v>
      </c>
      <c r="H200">
        <v>0.2</v>
      </c>
      <c r="I200" t="s">
        <v>40</v>
      </c>
      <c r="J200" t="s">
        <v>58</v>
      </c>
      <c r="K200" t="s">
        <v>17</v>
      </c>
      <c r="L200">
        <v>59.799999999999983</v>
      </c>
      <c r="M200">
        <v>299</v>
      </c>
      <c r="N200">
        <v>239.20000000000002</v>
      </c>
      <c r="O200">
        <v>239.20000000000002</v>
      </c>
    </row>
    <row r="201" spans="1:15" x14ac:dyDescent="0.3">
      <c r="A201" t="s">
        <v>332</v>
      </c>
      <c r="B201" s="1">
        <v>46098</v>
      </c>
      <c r="C201" t="s">
        <v>333</v>
      </c>
      <c r="D201" t="s">
        <v>20</v>
      </c>
      <c r="E201" t="s">
        <v>21</v>
      </c>
      <c r="F201">
        <v>2</v>
      </c>
      <c r="G201">
        <v>1299</v>
      </c>
      <c r="H201">
        <v>0.2</v>
      </c>
      <c r="I201" t="s">
        <v>40</v>
      </c>
      <c r="J201" t="s">
        <v>47</v>
      </c>
      <c r="K201" t="s">
        <v>17</v>
      </c>
      <c r="L201">
        <v>519.59999999999991</v>
      </c>
      <c r="M201">
        <v>2598</v>
      </c>
      <c r="N201">
        <v>2078.4</v>
      </c>
      <c r="O201">
        <v>2078.4</v>
      </c>
    </row>
    <row r="202" spans="1:15" x14ac:dyDescent="0.3">
      <c r="A202" t="s">
        <v>334</v>
      </c>
      <c r="B202" s="1">
        <v>46098</v>
      </c>
      <c r="C202" t="s">
        <v>127</v>
      </c>
      <c r="D202" t="s">
        <v>20</v>
      </c>
      <c r="E202" t="s">
        <v>72</v>
      </c>
      <c r="F202">
        <v>1</v>
      </c>
      <c r="G202">
        <v>1799</v>
      </c>
      <c r="H202">
        <v>0.05</v>
      </c>
      <c r="I202" t="s">
        <v>36</v>
      </c>
      <c r="J202" t="s">
        <v>58</v>
      </c>
      <c r="K202" t="s">
        <v>50</v>
      </c>
      <c r="L202">
        <v>89.950000000000045</v>
      </c>
      <c r="M202">
        <v>1799</v>
      </c>
      <c r="N202">
        <v>1709.05</v>
      </c>
      <c r="O202">
        <v>0</v>
      </c>
    </row>
    <row r="203" spans="1:15" x14ac:dyDescent="0.3">
      <c r="A203" t="s">
        <v>335</v>
      </c>
      <c r="B203" s="1">
        <v>46099</v>
      </c>
      <c r="C203" t="s">
        <v>199</v>
      </c>
      <c r="D203" t="s">
        <v>29</v>
      </c>
      <c r="E203" t="s">
        <v>46</v>
      </c>
      <c r="F203">
        <v>2</v>
      </c>
      <c r="G203">
        <v>199</v>
      </c>
      <c r="H203">
        <v>0.2</v>
      </c>
      <c r="I203" t="s">
        <v>36</v>
      </c>
      <c r="J203" t="s">
        <v>16</v>
      </c>
      <c r="K203" t="s">
        <v>17</v>
      </c>
      <c r="L203">
        <v>79.599999999999966</v>
      </c>
      <c r="M203">
        <v>398</v>
      </c>
      <c r="N203">
        <v>318.40000000000003</v>
      </c>
      <c r="O203">
        <v>318.40000000000003</v>
      </c>
    </row>
    <row r="204" spans="1:15" x14ac:dyDescent="0.3">
      <c r="A204" t="s">
        <v>336</v>
      </c>
      <c r="B204" s="1">
        <v>46099</v>
      </c>
      <c r="C204" t="s">
        <v>275</v>
      </c>
      <c r="D204" t="s">
        <v>34</v>
      </c>
      <c r="E204" t="s">
        <v>108</v>
      </c>
      <c r="F204">
        <v>3</v>
      </c>
      <c r="G204">
        <v>1599</v>
      </c>
      <c r="H204">
        <v>0.05</v>
      </c>
      <c r="I204" t="s">
        <v>36</v>
      </c>
      <c r="J204" t="s">
        <v>47</v>
      </c>
      <c r="K204" t="s">
        <v>17</v>
      </c>
      <c r="L204">
        <v>239.85000000000036</v>
      </c>
      <c r="M204">
        <v>4797</v>
      </c>
      <c r="N204">
        <v>4557.1499999999996</v>
      </c>
      <c r="O204">
        <v>4557.1499999999996</v>
      </c>
    </row>
    <row r="205" spans="1:15" x14ac:dyDescent="0.3">
      <c r="A205" t="s">
        <v>337</v>
      </c>
      <c r="B205" s="1">
        <v>46099</v>
      </c>
      <c r="C205" t="s">
        <v>114</v>
      </c>
      <c r="D205" t="s">
        <v>13</v>
      </c>
      <c r="E205" t="s">
        <v>231</v>
      </c>
      <c r="F205">
        <v>1</v>
      </c>
      <c r="G205">
        <v>699</v>
      </c>
      <c r="H205">
        <v>0.1</v>
      </c>
      <c r="I205" t="s">
        <v>22</v>
      </c>
      <c r="J205" t="s">
        <v>31</v>
      </c>
      <c r="K205" t="s">
        <v>50</v>
      </c>
      <c r="L205">
        <v>69.899999999999977</v>
      </c>
      <c r="M205">
        <v>699</v>
      </c>
      <c r="N205">
        <v>629.1</v>
      </c>
      <c r="O205">
        <v>0</v>
      </c>
    </row>
    <row r="206" spans="1:15" x14ac:dyDescent="0.3">
      <c r="A206" t="s">
        <v>338</v>
      </c>
      <c r="B206" s="1">
        <v>46099</v>
      </c>
      <c r="C206" t="s">
        <v>339</v>
      </c>
      <c r="D206" t="s">
        <v>34</v>
      </c>
      <c r="E206" t="s">
        <v>53</v>
      </c>
      <c r="F206">
        <v>3</v>
      </c>
      <c r="G206">
        <v>899</v>
      </c>
      <c r="H206">
        <v>0.15</v>
      </c>
      <c r="I206" t="s">
        <v>15</v>
      </c>
      <c r="J206" t="s">
        <v>58</v>
      </c>
      <c r="K206" t="s">
        <v>17</v>
      </c>
      <c r="L206">
        <v>404.55000000000018</v>
      </c>
      <c r="M206">
        <v>2697</v>
      </c>
      <c r="N206">
        <v>2292.4499999999998</v>
      </c>
      <c r="O206">
        <v>2292.4499999999998</v>
      </c>
    </row>
    <row r="207" spans="1:15" x14ac:dyDescent="0.3">
      <c r="A207" t="s">
        <v>340</v>
      </c>
      <c r="B207" s="1">
        <v>46100</v>
      </c>
      <c r="C207" t="s">
        <v>60</v>
      </c>
      <c r="D207" t="s">
        <v>34</v>
      </c>
      <c r="E207" t="s">
        <v>35</v>
      </c>
      <c r="F207">
        <v>1</v>
      </c>
      <c r="G207">
        <v>6499</v>
      </c>
      <c r="H207">
        <v>0.2</v>
      </c>
      <c r="I207" t="s">
        <v>22</v>
      </c>
      <c r="J207" t="s">
        <v>31</v>
      </c>
      <c r="K207" t="s">
        <v>17</v>
      </c>
      <c r="L207">
        <v>1299.7999999999993</v>
      </c>
      <c r="M207">
        <v>6499</v>
      </c>
      <c r="N207">
        <v>5199.2000000000007</v>
      </c>
      <c r="O207">
        <v>5199.2000000000007</v>
      </c>
    </row>
    <row r="208" spans="1:15" x14ac:dyDescent="0.3">
      <c r="A208" t="s">
        <v>341</v>
      </c>
      <c r="B208" s="1">
        <v>46100</v>
      </c>
      <c r="C208" t="s">
        <v>87</v>
      </c>
      <c r="D208" t="s">
        <v>13</v>
      </c>
      <c r="E208" t="s">
        <v>14</v>
      </c>
      <c r="F208">
        <v>1</v>
      </c>
      <c r="G208">
        <v>499</v>
      </c>
      <c r="H208">
        <v>0</v>
      </c>
      <c r="I208" t="s">
        <v>40</v>
      </c>
      <c r="J208" t="s">
        <v>16</v>
      </c>
      <c r="K208" t="s">
        <v>17</v>
      </c>
      <c r="L208">
        <v>0</v>
      </c>
      <c r="M208">
        <v>499</v>
      </c>
      <c r="N208">
        <v>499</v>
      </c>
      <c r="O208">
        <v>499</v>
      </c>
    </row>
    <row r="209" spans="1:15" x14ac:dyDescent="0.3">
      <c r="A209" t="s">
        <v>342</v>
      </c>
      <c r="B209" s="1">
        <v>46100</v>
      </c>
      <c r="C209" t="s">
        <v>57</v>
      </c>
      <c r="D209" t="s">
        <v>34</v>
      </c>
      <c r="E209" t="s">
        <v>63</v>
      </c>
      <c r="F209">
        <v>1</v>
      </c>
      <c r="G209">
        <v>599</v>
      </c>
      <c r="H209">
        <v>0.15</v>
      </c>
      <c r="I209" t="s">
        <v>15</v>
      </c>
      <c r="J209" t="s">
        <v>16</v>
      </c>
      <c r="K209" t="s">
        <v>17</v>
      </c>
      <c r="L209">
        <v>89.850000000000023</v>
      </c>
      <c r="M209">
        <v>599</v>
      </c>
      <c r="N209">
        <v>509.15</v>
      </c>
      <c r="O209">
        <v>509.15</v>
      </c>
    </row>
    <row r="210" spans="1:15" x14ac:dyDescent="0.3">
      <c r="A210" t="s">
        <v>343</v>
      </c>
      <c r="B210" s="1">
        <v>46100</v>
      </c>
      <c r="C210" t="s">
        <v>298</v>
      </c>
      <c r="D210" t="s">
        <v>20</v>
      </c>
      <c r="E210" t="s">
        <v>98</v>
      </c>
      <c r="F210">
        <v>1</v>
      </c>
      <c r="G210">
        <v>999</v>
      </c>
      <c r="H210">
        <v>0.2</v>
      </c>
      <c r="I210" t="s">
        <v>15</v>
      </c>
      <c r="J210" t="s">
        <v>31</v>
      </c>
      <c r="K210" t="s">
        <v>17</v>
      </c>
      <c r="L210">
        <v>199.79999999999995</v>
      </c>
      <c r="M210">
        <v>999</v>
      </c>
      <c r="N210">
        <v>799.2</v>
      </c>
      <c r="O210">
        <v>799.2</v>
      </c>
    </row>
    <row r="211" spans="1:15" x14ac:dyDescent="0.3">
      <c r="A211" t="s">
        <v>344</v>
      </c>
      <c r="B211" s="1">
        <v>46100</v>
      </c>
      <c r="C211" t="s">
        <v>333</v>
      </c>
      <c r="D211" t="s">
        <v>20</v>
      </c>
      <c r="E211" t="s">
        <v>82</v>
      </c>
      <c r="F211">
        <v>3</v>
      </c>
      <c r="G211">
        <v>2299</v>
      </c>
      <c r="H211">
        <v>0.1</v>
      </c>
      <c r="I211" t="s">
        <v>22</v>
      </c>
      <c r="J211" t="s">
        <v>23</v>
      </c>
      <c r="K211" t="s">
        <v>17</v>
      </c>
      <c r="L211">
        <v>689.69999999999982</v>
      </c>
      <c r="M211">
        <v>6897</v>
      </c>
      <c r="N211">
        <v>6207.3</v>
      </c>
      <c r="O211">
        <v>6207.3</v>
      </c>
    </row>
    <row r="212" spans="1:15" x14ac:dyDescent="0.3">
      <c r="A212" t="s">
        <v>345</v>
      </c>
      <c r="B212" s="1">
        <v>46100</v>
      </c>
      <c r="C212" t="s">
        <v>148</v>
      </c>
      <c r="D212" t="s">
        <v>34</v>
      </c>
      <c r="E212" t="s">
        <v>39</v>
      </c>
      <c r="F212">
        <v>1</v>
      </c>
      <c r="G212">
        <v>499</v>
      </c>
      <c r="H212">
        <v>0.1</v>
      </c>
      <c r="I212" t="s">
        <v>22</v>
      </c>
      <c r="J212" t="s">
        <v>23</v>
      </c>
      <c r="K212" t="s">
        <v>17</v>
      </c>
      <c r="L212">
        <v>49.899999999999977</v>
      </c>
      <c r="M212">
        <v>499</v>
      </c>
      <c r="N212">
        <v>449.1</v>
      </c>
      <c r="O212">
        <v>449.1</v>
      </c>
    </row>
    <row r="213" spans="1:15" x14ac:dyDescent="0.3">
      <c r="A213" t="s">
        <v>346</v>
      </c>
      <c r="B213" s="1">
        <v>46100</v>
      </c>
      <c r="C213" t="s">
        <v>52</v>
      </c>
      <c r="D213" t="s">
        <v>13</v>
      </c>
      <c r="E213" t="s">
        <v>125</v>
      </c>
      <c r="F213">
        <v>2</v>
      </c>
      <c r="G213">
        <v>1199</v>
      </c>
      <c r="H213">
        <v>0.05</v>
      </c>
      <c r="I213" t="s">
        <v>36</v>
      </c>
      <c r="J213" t="s">
        <v>47</v>
      </c>
      <c r="K213" t="s">
        <v>50</v>
      </c>
      <c r="L213">
        <v>119.90000000000009</v>
      </c>
      <c r="M213">
        <v>2398</v>
      </c>
      <c r="N213">
        <v>2278.1</v>
      </c>
      <c r="O213">
        <v>0</v>
      </c>
    </row>
    <row r="214" spans="1:15" x14ac:dyDescent="0.3">
      <c r="A214" t="s">
        <v>347</v>
      </c>
      <c r="B214" s="1">
        <v>46101</v>
      </c>
      <c r="C214" t="s">
        <v>97</v>
      </c>
      <c r="D214" t="s">
        <v>34</v>
      </c>
      <c r="E214" t="s">
        <v>63</v>
      </c>
      <c r="F214">
        <v>1</v>
      </c>
      <c r="G214">
        <v>599</v>
      </c>
      <c r="H214">
        <v>0.2</v>
      </c>
      <c r="I214" t="s">
        <v>40</v>
      </c>
      <c r="J214" t="s">
        <v>23</v>
      </c>
      <c r="K214" t="s">
        <v>17</v>
      </c>
      <c r="L214">
        <v>119.79999999999995</v>
      </c>
      <c r="M214">
        <v>599</v>
      </c>
      <c r="N214">
        <v>479.20000000000005</v>
      </c>
      <c r="O214">
        <v>479.20000000000005</v>
      </c>
    </row>
    <row r="215" spans="1:15" x14ac:dyDescent="0.3">
      <c r="A215" t="s">
        <v>348</v>
      </c>
      <c r="B215" s="1">
        <v>46102</v>
      </c>
      <c r="C215" t="s">
        <v>349</v>
      </c>
      <c r="D215" t="s">
        <v>20</v>
      </c>
      <c r="E215" t="s">
        <v>98</v>
      </c>
      <c r="F215">
        <v>2</v>
      </c>
      <c r="G215">
        <v>999</v>
      </c>
      <c r="H215">
        <v>0.1</v>
      </c>
      <c r="I215" t="s">
        <v>22</v>
      </c>
      <c r="J215" t="s">
        <v>16</v>
      </c>
      <c r="K215" t="s">
        <v>17</v>
      </c>
      <c r="L215">
        <v>199.79999999999995</v>
      </c>
      <c r="M215">
        <v>1998</v>
      </c>
      <c r="N215">
        <v>1798.2</v>
      </c>
      <c r="O215">
        <v>1798.2</v>
      </c>
    </row>
    <row r="216" spans="1:15" x14ac:dyDescent="0.3">
      <c r="A216" t="s">
        <v>350</v>
      </c>
      <c r="B216" s="1">
        <v>46102</v>
      </c>
      <c r="C216" t="s">
        <v>209</v>
      </c>
      <c r="D216" t="s">
        <v>29</v>
      </c>
      <c r="E216" t="s">
        <v>122</v>
      </c>
      <c r="F216">
        <v>3</v>
      </c>
      <c r="G216">
        <v>249</v>
      </c>
      <c r="H216">
        <v>0.2</v>
      </c>
      <c r="I216" t="s">
        <v>36</v>
      </c>
      <c r="J216" t="s">
        <v>47</v>
      </c>
      <c r="K216" t="s">
        <v>17</v>
      </c>
      <c r="L216">
        <v>149.39999999999998</v>
      </c>
      <c r="M216">
        <v>747</v>
      </c>
      <c r="N216">
        <v>597.6</v>
      </c>
      <c r="O216">
        <v>597.6</v>
      </c>
    </row>
    <row r="217" spans="1:15" x14ac:dyDescent="0.3">
      <c r="A217" t="s">
        <v>351</v>
      </c>
      <c r="B217" s="1">
        <v>46103</v>
      </c>
      <c r="C217" t="s">
        <v>333</v>
      </c>
      <c r="D217" t="s">
        <v>13</v>
      </c>
      <c r="E217" t="s">
        <v>93</v>
      </c>
      <c r="F217">
        <v>1</v>
      </c>
      <c r="G217">
        <v>1499</v>
      </c>
      <c r="H217">
        <v>0.15</v>
      </c>
      <c r="I217" t="s">
        <v>15</v>
      </c>
      <c r="J217" t="s">
        <v>47</v>
      </c>
      <c r="K217" t="s">
        <v>17</v>
      </c>
      <c r="L217">
        <v>224.85000000000014</v>
      </c>
      <c r="M217">
        <v>1499</v>
      </c>
      <c r="N217">
        <v>1274.1499999999999</v>
      </c>
      <c r="O217">
        <v>1274.1499999999999</v>
      </c>
    </row>
    <row r="218" spans="1:15" x14ac:dyDescent="0.3">
      <c r="A218" t="s">
        <v>352</v>
      </c>
      <c r="B218" s="1">
        <v>46103</v>
      </c>
      <c r="C218" t="s">
        <v>124</v>
      </c>
      <c r="D218" t="s">
        <v>13</v>
      </c>
      <c r="E218" t="s">
        <v>125</v>
      </c>
      <c r="F218">
        <v>1</v>
      </c>
      <c r="G218">
        <v>1199</v>
      </c>
      <c r="H218">
        <v>0.2</v>
      </c>
      <c r="I218" t="s">
        <v>36</v>
      </c>
      <c r="J218" t="s">
        <v>47</v>
      </c>
      <c r="K218" t="s">
        <v>17</v>
      </c>
      <c r="L218">
        <v>239.79999999999995</v>
      </c>
      <c r="M218">
        <v>1199</v>
      </c>
      <c r="N218">
        <v>959.2</v>
      </c>
      <c r="O218">
        <v>959.2</v>
      </c>
    </row>
    <row r="219" spans="1:15" x14ac:dyDescent="0.3">
      <c r="A219" t="s">
        <v>353</v>
      </c>
      <c r="B219" s="1">
        <v>46103</v>
      </c>
      <c r="C219" t="s">
        <v>354</v>
      </c>
      <c r="D219" t="s">
        <v>20</v>
      </c>
      <c r="E219" t="s">
        <v>82</v>
      </c>
      <c r="F219">
        <v>1</v>
      </c>
      <c r="G219">
        <v>2299</v>
      </c>
      <c r="H219">
        <v>0.05</v>
      </c>
      <c r="I219" t="s">
        <v>36</v>
      </c>
      <c r="J219" t="s">
        <v>16</v>
      </c>
      <c r="K219" t="s">
        <v>24</v>
      </c>
      <c r="L219">
        <v>114.95000000000027</v>
      </c>
      <c r="M219">
        <v>2299</v>
      </c>
      <c r="N219">
        <v>2184.0499999999997</v>
      </c>
      <c r="O219">
        <v>0</v>
      </c>
    </row>
    <row r="220" spans="1:15" x14ac:dyDescent="0.3">
      <c r="A220" t="s">
        <v>355</v>
      </c>
      <c r="B220" s="1">
        <v>46104</v>
      </c>
      <c r="C220" t="s">
        <v>235</v>
      </c>
      <c r="D220" t="s">
        <v>29</v>
      </c>
      <c r="E220" t="s">
        <v>85</v>
      </c>
      <c r="F220">
        <v>5</v>
      </c>
      <c r="G220">
        <v>299</v>
      </c>
      <c r="H220">
        <v>0.05</v>
      </c>
      <c r="I220" t="s">
        <v>22</v>
      </c>
      <c r="J220" t="s">
        <v>16</v>
      </c>
      <c r="K220" t="s">
        <v>24</v>
      </c>
      <c r="L220">
        <v>74.75</v>
      </c>
      <c r="M220">
        <v>1495</v>
      </c>
      <c r="N220">
        <v>1420.25</v>
      </c>
      <c r="O220">
        <v>0</v>
      </c>
    </row>
    <row r="221" spans="1:15" x14ac:dyDescent="0.3">
      <c r="A221" t="s">
        <v>356</v>
      </c>
      <c r="B221" s="1">
        <v>46105</v>
      </c>
      <c r="C221" t="s">
        <v>127</v>
      </c>
      <c r="D221" t="s">
        <v>20</v>
      </c>
      <c r="E221" t="s">
        <v>72</v>
      </c>
      <c r="F221">
        <v>1</v>
      </c>
      <c r="G221">
        <v>1799</v>
      </c>
      <c r="H221">
        <v>0.15</v>
      </c>
      <c r="I221" t="s">
        <v>15</v>
      </c>
      <c r="J221" t="s">
        <v>31</v>
      </c>
      <c r="K221" t="s">
        <v>24</v>
      </c>
      <c r="L221">
        <v>269.85000000000014</v>
      </c>
      <c r="M221">
        <v>1799</v>
      </c>
      <c r="N221">
        <v>1529.1499999999999</v>
      </c>
      <c r="O221">
        <v>0</v>
      </c>
    </row>
    <row r="222" spans="1:15" x14ac:dyDescent="0.3">
      <c r="A222" t="s">
        <v>357</v>
      </c>
      <c r="B222" s="1">
        <v>46105</v>
      </c>
      <c r="C222" t="s">
        <v>127</v>
      </c>
      <c r="D222" t="s">
        <v>29</v>
      </c>
      <c r="E222" t="s">
        <v>77</v>
      </c>
      <c r="F222">
        <v>2</v>
      </c>
      <c r="G222">
        <v>399</v>
      </c>
      <c r="H222">
        <v>0.2</v>
      </c>
      <c r="I222" t="s">
        <v>22</v>
      </c>
      <c r="J222" t="s">
        <v>31</v>
      </c>
      <c r="K222" t="s">
        <v>17</v>
      </c>
      <c r="L222">
        <v>159.59999999999991</v>
      </c>
      <c r="M222">
        <v>798</v>
      </c>
      <c r="N222">
        <v>638.40000000000009</v>
      </c>
      <c r="O222">
        <v>638.40000000000009</v>
      </c>
    </row>
    <row r="223" spans="1:15" x14ac:dyDescent="0.3">
      <c r="A223" t="s">
        <v>358</v>
      </c>
      <c r="B223" s="1">
        <v>46106</v>
      </c>
      <c r="C223" t="s">
        <v>141</v>
      </c>
      <c r="D223" t="s">
        <v>29</v>
      </c>
      <c r="E223" t="s">
        <v>46</v>
      </c>
      <c r="F223">
        <v>1</v>
      </c>
      <c r="G223">
        <v>199</v>
      </c>
      <c r="H223">
        <v>0.05</v>
      </c>
      <c r="I223" t="s">
        <v>36</v>
      </c>
      <c r="J223" t="s">
        <v>16</v>
      </c>
      <c r="K223" t="s">
        <v>17</v>
      </c>
      <c r="L223">
        <v>9.9500000000000171</v>
      </c>
      <c r="M223">
        <v>199</v>
      </c>
      <c r="N223">
        <v>189.04999999999998</v>
      </c>
      <c r="O223">
        <v>189.04999999999998</v>
      </c>
    </row>
    <row r="224" spans="1:15" x14ac:dyDescent="0.3">
      <c r="A224" t="s">
        <v>359</v>
      </c>
      <c r="B224" s="1">
        <v>46106</v>
      </c>
      <c r="C224" t="s">
        <v>137</v>
      </c>
      <c r="D224" t="s">
        <v>20</v>
      </c>
      <c r="E224" t="s">
        <v>66</v>
      </c>
      <c r="F224">
        <v>1</v>
      </c>
      <c r="G224">
        <v>799</v>
      </c>
      <c r="H224">
        <v>0.15</v>
      </c>
      <c r="I224" t="s">
        <v>40</v>
      </c>
      <c r="J224" t="s">
        <v>16</v>
      </c>
      <c r="K224" t="s">
        <v>17</v>
      </c>
      <c r="L224">
        <v>119.85000000000002</v>
      </c>
      <c r="M224">
        <v>799</v>
      </c>
      <c r="N224">
        <v>679.15</v>
      </c>
      <c r="O224">
        <v>679.15</v>
      </c>
    </row>
    <row r="225" spans="1:15" x14ac:dyDescent="0.3">
      <c r="A225" t="s">
        <v>360</v>
      </c>
      <c r="B225" s="1">
        <v>46106</v>
      </c>
      <c r="C225" t="s">
        <v>92</v>
      </c>
      <c r="D225" t="s">
        <v>20</v>
      </c>
      <c r="E225" t="s">
        <v>66</v>
      </c>
      <c r="F225">
        <v>3</v>
      </c>
      <c r="G225">
        <v>799</v>
      </c>
      <c r="H225">
        <v>0</v>
      </c>
      <c r="I225" t="s">
        <v>36</v>
      </c>
      <c r="J225" t="s">
        <v>47</v>
      </c>
      <c r="K225" t="s">
        <v>17</v>
      </c>
      <c r="L225">
        <v>0</v>
      </c>
      <c r="M225">
        <v>2397</v>
      </c>
      <c r="N225">
        <v>2397</v>
      </c>
      <c r="O225">
        <v>2397</v>
      </c>
    </row>
    <row r="226" spans="1:15" x14ac:dyDescent="0.3">
      <c r="A226" t="s">
        <v>361</v>
      </c>
      <c r="B226" s="1">
        <v>46106</v>
      </c>
      <c r="C226" t="s">
        <v>139</v>
      </c>
      <c r="D226" t="s">
        <v>29</v>
      </c>
      <c r="E226" t="s">
        <v>122</v>
      </c>
      <c r="F226">
        <v>1</v>
      </c>
      <c r="G226">
        <v>249</v>
      </c>
      <c r="H226">
        <v>0</v>
      </c>
      <c r="I226" t="s">
        <v>15</v>
      </c>
      <c r="J226" t="s">
        <v>58</v>
      </c>
      <c r="K226" t="s">
        <v>24</v>
      </c>
      <c r="L226">
        <v>0</v>
      </c>
      <c r="M226">
        <v>249</v>
      </c>
      <c r="N226">
        <v>249</v>
      </c>
      <c r="O226">
        <v>0</v>
      </c>
    </row>
    <row r="227" spans="1:15" x14ac:dyDescent="0.3">
      <c r="A227" t="s">
        <v>362</v>
      </c>
      <c r="B227" s="1">
        <v>46107</v>
      </c>
      <c r="C227" t="s">
        <v>293</v>
      </c>
      <c r="D227" t="s">
        <v>13</v>
      </c>
      <c r="E227" t="s">
        <v>69</v>
      </c>
      <c r="F227">
        <v>2</v>
      </c>
      <c r="G227">
        <v>299</v>
      </c>
      <c r="H227">
        <v>0</v>
      </c>
      <c r="I227" t="s">
        <v>22</v>
      </c>
      <c r="J227" t="s">
        <v>47</v>
      </c>
      <c r="K227" t="s">
        <v>50</v>
      </c>
      <c r="L227">
        <v>0</v>
      </c>
      <c r="M227">
        <v>598</v>
      </c>
      <c r="N227">
        <v>598</v>
      </c>
      <c r="O227">
        <v>0</v>
      </c>
    </row>
    <row r="228" spans="1:15" x14ac:dyDescent="0.3">
      <c r="A228" t="s">
        <v>363</v>
      </c>
      <c r="B228" s="1">
        <v>46107</v>
      </c>
      <c r="C228" t="s">
        <v>114</v>
      </c>
      <c r="D228" t="s">
        <v>20</v>
      </c>
      <c r="E228" t="s">
        <v>98</v>
      </c>
      <c r="F228">
        <v>3</v>
      </c>
      <c r="G228">
        <v>999</v>
      </c>
      <c r="H228">
        <v>0</v>
      </c>
      <c r="I228" t="s">
        <v>15</v>
      </c>
      <c r="J228" t="s">
        <v>58</v>
      </c>
      <c r="K228" t="s">
        <v>50</v>
      </c>
      <c r="L228">
        <v>0</v>
      </c>
      <c r="M228">
        <v>2997</v>
      </c>
      <c r="N228">
        <v>2997</v>
      </c>
      <c r="O228">
        <v>0</v>
      </c>
    </row>
    <row r="229" spans="1:15" x14ac:dyDescent="0.3">
      <c r="A229" t="s">
        <v>364</v>
      </c>
      <c r="B229" s="1">
        <v>46109</v>
      </c>
      <c r="C229" t="s">
        <v>28</v>
      </c>
      <c r="D229" t="s">
        <v>34</v>
      </c>
      <c r="E229" t="s">
        <v>63</v>
      </c>
      <c r="F229">
        <v>1</v>
      </c>
      <c r="G229">
        <v>599</v>
      </c>
      <c r="H229">
        <v>0.2</v>
      </c>
      <c r="I229" t="s">
        <v>36</v>
      </c>
      <c r="J229" t="s">
        <v>58</v>
      </c>
      <c r="K229" t="s">
        <v>17</v>
      </c>
      <c r="L229">
        <v>119.79999999999995</v>
      </c>
      <c r="M229">
        <v>599</v>
      </c>
      <c r="N229">
        <v>479.20000000000005</v>
      </c>
      <c r="O229">
        <v>479.20000000000005</v>
      </c>
    </row>
    <row r="230" spans="1:15" x14ac:dyDescent="0.3">
      <c r="A230" t="s">
        <v>365</v>
      </c>
      <c r="B230" s="1">
        <v>46109</v>
      </c>
      <c r="C230" t="s">
        <v>275</v>
      </c>
      <c r="D230" t="s">
        <v>29</v>
      </c>
      <c r="E230" t="s">
        <v>46</v>
      </c>
      <c r="F230">
        <v>3</v>
      </c>
      <c r="G230">
        <v>199</v>
      </c>
      <c r="H230">
        <v>0</v>
      </c>
      <c r="I230" t="s">
        <v>40</v>
      </c>
      <c r="J230" t="s">
        <v>16</v>
      </c>
      <c r="K230" t="s">
        <v>24</v>
      </c>
      <c r="L230">
        <v>0</v>
      </c>
      <c r="M230">
        <v>597</v>
      </c>
      <c r="N230">
        <v>597</v>
      </c>
      <c r="O230">
        <v>0</v>
      </c>
    </row>
    <row r="231" spans="1:15" x14ac:dyDescent="0.3">
      <c r="A231" t="s">
        <v>366</v>
      </c>
      <c r="B231" s="1">
        <v>46109</v>
      </c>
      <c r="C231" t="s">
        <v>65</v>
      </c>
      <c r="D231" t="s">
        <v>13</v>
      </c>
      <c r="E231" t="s">
        <v>69</v>
      </c>
      <c r="F231">
        <v>2</v>
      </c>
      <c r="G231">
        <v>299</v>
      </c>
      <c r="H231">
        <v>0.05</v>
      </c>
      <c r="I231" t="s">
        <v>15</v>
      </c>
      <c r="J231" t="s">
        <v>16</v>
      </c>
      <c r="K231" t="s">
        <v>50</v>
      </c>
      <c r="L231">
        <v>29.899999999999977</v>
      </c>
      <c r="M231">
        <v>598</v>
      </c>
      <c r="N231">
        <v>568.1</v>
      </c>
      <c r="O231">
        <v>0</v>
      </c>
    </row>
    <row r="232" spans="1:15" x14ac:dyDescent="0.3">
      <c r="A232" t="s">
        <v>367</v>
      </c>
      <c r="B232" s="1">
        <v>46110</v>
      </c>
      <c r="C232" t="s">
        <v>260</v>
      </c>
      <c r="D232" t="s">
        <v>20</v>
      </c>
      <c r="E232" t="s">
        <v>98</v>
      </c>
      <c r="F232">
        <v>2</v>
      </c>
      <c r="G232">
        <v>999</v>
      </c>
      <c r="H232">
        <v>0.05</v>
      </c>
      <c r="I232" t="s">
        <v>15</v>
      </c>
      <c r="J232" t="s">
        <v>16</v>
      </c>
      <c r="K232" t="s">
        <v>17</v>
      </c>
      <c r="L232">
        <v>99.900000000000091</v>
      </c>
      <c r="M232">
        <v>1998</v>
      </c>
      <c r="N232">
        <v>1898.1</v>
      </c>
      <c r="O232">
        <v>1898.1</v>
      </c>
    </row>
    <row r="233" spans="1:15" x14ac:dyDescent="0.3">
      <c r="A233" t="s">
        <v>368</v>
      </c>
      <c r="B233" s="1">
        <v>46111</v>
      </c>
      <c r="C233" t="s">
        <v>199</v>
      </c>
      <c r="D233" t="s">
        <v>34</v>
      </c>
      <c r="E233" t="s">
        <v>108</v>
      </c>
      <c r="F233">
        <v>2</v>
      </c>
      <c r="G233">
        <v>1599</v>
      </c>
      <c r="H233">
        <v>0.15</v>
      </c>
      <c r="I233" t="s">
        <v>22</v>
      </c>
      <c r="J233" t="s">
        <v>31</v>
      </c>
      <c r="K233" t="s">
        <v>17</v>
      </c>
      <c r="L233">
        <v>479.70000000000027</v>
      </c>
      <c r="M233">
        <v>3198</v>
      </c>
      <c r="N233">
        <v>2718.2999999999997</v>
      </c>
      <c r="O233">
        <v>2718.2999999999997</v>
      </c>
    </row>
    <row r="234" spans="1:15" x14ac:dyDescent="0.3">
      <c r="A234" t="s">
        <v>369</v>
      </c>
      <c r="B234" s="1">
        <v>46111</v>
      </c>
      <c r="C234" t="s">
        <v>42</v>
      </c>
      <c r="D234" t="s">
        <v>20</v>
      </c>
      <c r="E234" t="s">
        <v>98</v>
      </c>
      <c r="F234">
        <v>3</v>
      </c>
      <c r="G234">
        <v>999</v>
      </c>
      <c r="H234">
        <v>0.1</v>
      </c>
      <c r="I234" t="s">
        <v>15</v>
      </c>
      <c r="J234" t="s">
        <v>23</v>
      </c>
      <c r="K234" t="s">
        <v>17</v>
      </c>
      <c r="L234">
        <v>299.69999999999982</v>
      </c>
      <c r="M234">
        <v>2997</v>
      </c>
      <c r="N234">
        <v>2697.3</v>
      </c>
      <c r="O234">
        <v>2697.3</v>
      </c>
    </row>
    <row r="235" spans="1:15" x14ac:dyDescent="0.3">
      <c r="A235" t="s">
        <v>370</v>
      </c>
      <c r="B235" s="1">
        <v>46111</v>
      </c>
      <c r="C235" t="s">
        <v>164</v>
      </c>
      <c r="D235" t="s">
        <v>20</v>
      </c>
      <c r="E235" t="s">
        <v>72</v>
      </c>
      <c r="F235">
        <v>2</v>
      </c>
      <c r="G235">
        <v>1799</v>
      </c>
      <c r="H235">
        <v>0.1</v>
      </c>
      <c r="I235" t="s">
        <v>22</v>
      </c>
      <c r="J235" t="s">
        <v>58</v>
      </c>
      <c r="K235" t="s">
        <v>50</v>
      </c>
      <c r="L235">
        <v>359.79999999999973</v>
      </c>
      <c r="M235">
        <v>3598</v>
      </c>
      <c r="N235">
        <v>3238.2000000000003</v>
      </c>
      <c r="O235">
        <v>0</v>
      </c>
    </row>
    <row r="236" spans="1:15" x14ac:dyDescent="0.3">
      <c r="A236" t="s">
        <v>371</v>
      </c>
      <c r="B236" s="1">
        <v>46111</v>
      </c>
      <c r="C236" t="s">
        <v>189</v>
      </c>
      <c r="D236" t="s">
        <v>34</v>
      </c>
      <c r="E236" t="s">
        <v>39</v>
      </c>
      <c r="F236">
        <v>1</v>
      </c>
      <c r="G236">
        <v>499</v>
      </c>
      <c r="H236">
        <v>0</v>
      </c>
      <c r="I236" t="s">
        <v>40</v>
      </c>
      <c r="J236" t="s">
        <v>31</v>
      </c>
      <c r="K236" t="s">
        <v>24</v>
      </c>
      <c r="L236">
        <v>0</v>
      </c>
      <c r="M236">
        <v>499</v>
      </c>
      <c r="N236">
        <v>499</v>
      </c>
      <c r="O236">
        <v>0</v>
      </c>
    </row>
    <row r="237" spans="1:15" x14ac:dyDescent="0.3">
      <c r="A237" t="s">
        <v>372</v>
      </c>
      <c r="B237" s="1">
        <v>46111</v>
      </c>
      <c r="C237" t="s">
        <v>168</v>
      </c>
      <c r="D237" t="s">
        <v>20</v>
      </c>
      <c r="E237" t="s">
        <v>98</v>
      </c>
      <c r="F237">
        <v>1</v>
      </c>
      <c r="G237">
        <v>999</v>
      </c>
      <c r="H237">
        <v>0</v>
      </c>
      <c r="I237" t="s">
        <v>22</v>
      </c>
      <c r="J237" t="s">
        <v>16</v>
      </c>
      <c r="K237" t="s">
        <v>24</v>
      </c>
      <c r="L237">
        <v>0</v>
      </c>
      <c r="M237">
        <v>999</v>
      </c>
      <c r="N237">
        <v>999</v>
      </c>
      <c r="O237">
        <v>0</v>
      </c>
    </row>
    <row r="238" spans="1:15" x14ac:dyDescent="0.3">
      <c r="A238" t="s">
        <v>373</v>
      </c>
      <c r="B238" s="1">
        <v>46112</v>
      </c>
      <c r="C238" t="s">
        <v>124</v>
      </c>
      <c r="D238" t="s">
        <v>34</v>
      </c>
      <c r="E238" t="s">
        <v>63</v>
      </c>
      <c r="F238">
        <v>1</v>
      </c>
      <c r="G238">
        <v>599</v>
      </c>
      <c r="H238">
        <v>0.05</v>
      </c>
      <c r="I238" t="s">
        <v>36</v>
      </c>
      <c r="J238" t="s">
        <v>47</v>
      </c>
      <c r="K238" t="s">
        <v>17</v>
      </c>
      <c r="L238">
        <v>29.950000000000045</v>
      </c>
      <c r="M238">
        <v>599</v>
      </c>
      <c r="N238">
        <v>569.04999999999995</v>
      </c>
      <c r="O238">
        <v>569.04999999999995</v>
      </c>
    </row>
    <row r="239" spans="1:15" x14ac:dyDescent="0.3">
      <c r="A239" t="s">
        <v>374</v>
      </c>
      <c r="B239" s="1">
        <v>46112</v>
      </c>
      <c r="C239" t="s">
        <v>375</v>
      </c>
      <c r="D239" t="s">
        <v>34</v>
      </c>
      <c r="E239" t="s">
        <v>39</v>
      </c>
      <c r="F239">
        <v>1</v>
      </c>
      <c r="G239">
        <v>499</v>
      </c>
      <c r="H239">
        <v>0.2</v>
      </c>
      <c r="I239" t="s">
        <v>36</v>
      </c>
      <c r="J239" t="s">
        <v>31</v>
      </c>
      <c r="K239" t="s">
        <v>17</v>
      </c>
      <c r="L239">
        <v>99.799999999999955</v>
      </c>
      <c r="M239">
        <v>499</v>
      </c>
      <c r="N239">
        <v>399.20000000000005</v>
      </c>
      <c r="O239">
        <v>399.20000000000005</v>
      </c>
    </row>
    <row r="240" spans="1:15" x14ac:dyDescent="0.3">
      <c r="A240" t="s">
        <v>376</v>
      </c>
      <c r="B240" s="1">
        <v>46112</v>
      </c>
      <c r="C240" t="s">
        <v>164</v>
      </c>
      <c r="D240" t="s">
        <v>13</v>
      </c>
      <c r="E240" t="s">
        <v>231</v>
      </c>
      <c r="F240">
        <v>2</v>
      </c>
      <c r="G240">
        <v>699</v>
      </c>
      <c r="H240">
        <v>0.05</v>
      </c>
      <c r="I240" t="s">
        <v>15</v>
      </c>
      <c r="J240" t="s">
        <v>58</v>
      </c>
      <c r="K240" t="s">
        <v>17</v>
      </c>
      <c r="L240">
        <v>69.900000000000091</v>
      </c>
      <c r="M240">
        <v>1398</v>
      </c>
      <c r="N240">
        <v>1328.1</v>
      </c>
      <c r="O240">
        <v>1328.1</v>
      </c>
    </row>
    <row r="241" spans="1:15" x14ac:dyDescent="0.3">
      <c r="A241" t="s">
        <v>377</v>
      </c>
      <c r="B241" s="1">
        <v>46113</v>
      </c>
      <c r="C241" t="s">
        <v>293</v>
      </c>
      <c r="D241" t="s">
        <v>29</v>
      </c>
      <c r="E241" t="s">
        <v>77</v>
      </c>
      <c r="F241">
        <v>3</v>
      </c>
      <c r="G241">
        <v>399</v>
      </c>
      <c r="H241">
        <v>0.15</v>
      </c>
      <c r="I241" t="s">
        <v>15</v>
      </c>
      <c r="J241" t="s">
        <v>31</v>
      </c>
      <c r="K241" t="s">
        <v>17</v>
      </c>
      <c r="L241">
        <v>179.55000000000007</v>
      </c>
      <c r="M241">
        <v>1197</v>
      </c>
      <c r="N241">
        <v>1017.4499999999999</v>
      </c>
      <c r="O241">
        <v>1017.4499999999999</v>
      </c>
    </row>
    <row r="242" spans="1:15" x14ac:dyDescent="0.3">
      <c r="A242" t="s">
        <v>378</v>
      </c>
      <c r="B242" s="1">
        <v>46113</v>
      </c>
      <c r="C242" t="s">
        <v>275</v>
      </c>
      <c r="D242" t="s">
        <v>34</v>
      </c>
      <c r="E242" t="s">
        <v>35</v>
      </c>
      <c r="F242">
        <v>2</v>
      </c>
      <c r="G242">
        <v>6499</v>
      </c>
      <c r="H242">
        <v>0.05</v>
      </c>
      <c r="I242" t="s">
        <v>40</v>
      </c>
      <c r="J242" t="s">
        <v>23</v>
      </c>
      <c r="K242" t="s">
        <v>17</v>
      </c>
      <c r="L242">
        <v>649.90000000000146</v>
      </c>
      <c r="M242">
        <v>12998</v>
      </c>
      <c r="N242">
        <v>12348.099999999999</v>
      </c>
      <c r="O242">
        <v>12348.099999999999</v>
      </c>
    </row>
    <row r="243" spans="1:15" x14ac:dyDescent="0.3">
      <c r="A243" t="s">
        <v>379</v>
      </c>
      <c r="B243" s="1">
        <v>46113</v>
      </c>
      <c r="C243" t="s">
        <v>44</v>
      </c>
      <c r="D243" t="s">
        <v>20</v>
      </c>
      <c r="E243" t="s">
        <v>72</v>
      </c>
      <c r="F243">
        <v>1</v>
      </c>
      <c r="G243">
        <v>1799</v>
      </c>
      <c r="H243">
        <v>0.15</v>
      </c>
      <c r="I243" t="s">
        <v>40</v>
      </c>
      <c r="J243" t="s">
        <v>23</v>
      </c>
      <c r="K243" t="s">
        <v>17</v>
      </c>
      <c r="L243">
        <v>269.85000000000014</v>
      </c>
      <c r="M243">
        <v>1799</v>
      </c>
      <c r="N243">
        <v>1529.1499999999999</v>
      </c>
      <c r="O243">
        <v>1529.1499999999999</v>
      </c>
    </row>
    <row r="244" spans="1:15" x14ac:dyDescent="0.3">
      <c r="A244" t="s">
        <v>380</v>
      </c>
      <c r="B244" s="1">
        <v>46113</v>
      </c>
      <c r="C244" t="s">
        <v>107</v>
      </c>
      <c r="D244" t="s">
        <v>20</v>
      </c>
      <c r="E244" t="s">
        <v>82</v>
      </c>
      <c r="F244">
        <v>2</v>
      </c>
      <c r="G244">
        <v>2299</v>
      </c>
      <c r="H244">
        <v>0.15</v>
      </c>
      <c r="I244" t="s">
        <v>15</v>
      </c>
      <c r="J244" t="s">
        <v>16</v>
      </c>
      <c r="K244" t="s">
        <v>50</v>
      </c>
      <c r="L244">
        <v>689.70000000000027</v>
      </c>
      <c r="M244">
        <v>4598</v>
      </c>
      <c r="N244">
        <v>3908.2999999999997</v>
      </c>
      <c r="O244">
        <v>0</v>
      </c>
    </row>
    <row r="245" spans="1:15" x14ac:dyDescent="0.3">
      <c r="A245" t="s">
        <v>381</v>
      </c>
      <c r="B245" s="1">
        <v>46113</v>
      </c>
      <c r="C245" t="s">
        <v>38</v>
      </c>
      <c r="D245" t="s">
        <v>34</v>
      </c>
      <c r="E245" t="s">
        <v>53</v>
      </c>
      <c r="F245">
        <v>1</v>
      </c>
      <c r="G245">
        <v>899</v>
      </c>
      <c r="H245">
        <v>0.1</v>
      </c>
      <c r="I245" t="s">
        <v>22</v>
      </c>
      <c r="J245" t="s">
        <v>16</v>
      </c>
      <c r="K245" t="s">
        <v>17</v>
      </c>
      <c r="L245">
        <v>89.899999999999977</v>
      </c>
      <c r="M245">
        <v>899</v>
      </c>
      <c r="N245">
        <v>809.1</v>
      </c>
      <c r="O245">
        <v>809.1</v>
      </c>
    </row>
    <row r="246" spans="1:15" x14ac:dyDescent="0.3">
      <c r="A246" t="s">
        <v>382</v>
      </c>
      <c r="B246" s="1">
        <v>46114</v>
      </c>
      <c r="C246" t="s">
        <v>74</v>
      </c>
      <c r="D246" t="s">
        <v>29</v>
      </c>
      <c r="E246" t="s">
        <v>77</v>
      </c>
      <c r="F246">
        <v>1</v>
      </c>
      <c r="G246">
        <v>399</v>
      </c>
      <c r="H246">
        <v>0.2</v>
      </c>
      <c r="I246" t="s">
        <v>36</v>
      </c>
      <c r="J246" t="s">
        <v>23</v>
      </c>
      <c r="K246" t="s">
        <v>24</v>
      </c>
      <c r="L246">
        <v>79.799999999999955</v>
      </c>
      <c r="M246">
        <v>399</v>
      </c>
      <c r="N246">
        <v>319.20000000000005</v>
      </c>
      <c r="O246">
        <v>0</v>
      </c>
    </row>
    <row r="247" spans="1:15" x14ac:dyDescent="0.3">
      <c r="A247" t="s">
        <v>383</v>
      </c>
      <c r="B247" s="1">
        <v>46114</v>
      </c>
      <c r="C247" t="s">
        <v>173</v>
      </c>
      <c r="D247" t="s">
        <v>13</v>
      </c>
      <c r="E247" t="s">
        <v>14</v>
      </c>
      <c r="F247">
        <v>3</v>
      </c>
      <c r="G247">
        <v>499</v>
      </c>
      <c r="H247">
        <v>0.1</v>
      </c>
      <c r="I247" t="s">
        <v>22</v>
      </c>
      <c r="J247" t="s">
        <v>31</v>
      </c>
      <c r="K247" t="s">
        <v>17</v>
      </c>
      <c r="L247">
        <v>149.70000000000005</v>
      </c>
      <c r="M247">
        <v>1497</v>
      </c>
      <c r="N247">
        <v>1347.3</v>
      </c>
      <c r="O247">
        <v>1347.3</v>
      </c>
    </row>
    <row r="248" spans="1:15" x14ac:dyDescent="0.3">
      <c r="A248" t="s">
        <v>384</v>
      </c>
      <c r="B248" s="1">
        <v>46115</v>
      </c>
      <c r="C248" t="s">
        <v>275</v>
      </c>
      <c r="D248" t="s">
        <v>20</v>
      </c>
      <c r="E248" t="s">
        <v>82</v>
      </c>
      <c r="F248">
        <v>2</v>
      </c>
      <c r="G248">
        <v>2299</v>
      </c>
      <c r="H248">
        <v>0</v>
      </c>
      <c r="I248" t="s">
        <v>40</v>
      </c>
      <c r="J248" t="s">
        <v>23</v>
      </c>
      <c r="K248" t="s">
        <v>17</v>
      </c>
      <c r="L248">
        <v>0</v>
      </c>
      <c r="M248">
        <v>4598</v>
      </c>
      <c r="N248">
        <v>4598</v>
      </c>
      <c r="O248">
        <v>4598</v>
      </c>
    </row>
    <row r="249" spans="1:15" x14ac:dyDescent="0.3">
      <c r="A249" t="s">
        <v>385</v>
      </c>
      <c r="B249" s="1">
        <v>46115</v>
      </c>
      <c r="C249" t="s">
        <v>76</v>
      </c>
      <c r="D249" t="s">
        <v>29</v>
      </c>
      <c r="E249" t="s">
        <v>122</v>
      </c>
      <c r="F249">
        <v>2</v>
      </c>
      <c r="G249">
        <v>249</v>
      </c>
      <c r="H249">
        <v>0.15</v>
      </c>
      <c r="I249" t="s">
        <v>15</v>
      </c>
      <c r="J249" t="s">
        <v>16</v>
      </c>
      <c r="K249" t="s">
        <v>50</v>
      </c>
      <c r="L249">
        <v>74.699999999999989</v>
      </c>
      <c r="M249">
        <v>498</v>
      </c>
      <c r="N249">
        <v>423.3</v>
      </c>
      <c r="O249">
        <v>0</v>
      </c>
    </row>
    <row r="250" spans="1:15" x14ac:dyDescent="0.3">
      <c r="A250" t="s">
        <v>386</v>
      </c>
      <c r="B250" s="1">
        <v>46115</v>
      </c>
      <c r="C250" t="s">
        <v>217</v>
      </c>
      <c r="D250" t="s">
        <v>13</v>
      </c>
      <c r="E250" t="s">
        <v>14</v>
      </c>
      <c r="F250">
        <v>2</v>
      </c>
      <c r="G250">
        <v>499</v>
      </c>
      <c r="H250">
        <v>0</v>
      </c>
      <c r="I250" t="s">
        <v>40</v>
      </c>
      <c r="J250" t="s">
        <v>58</v>
      </c>
      <c r="K250" t="s">
        <v>50</v>
      </c>
      <c r="L250">
        <v>0</v>
      </c>
      <c r="M250">
        <v>998</v>
      </c>
      <c r="N250">
        <v>998</v>
      </c>
      <c r="O250">
        <v>0</v>
      </c>
    </row>
    <row r="251" spans="1:15" x14ac:dyDescent="0.3">
      <c r="A251" t="s">
        <v>387</v>
      </c>
      <c r="B251" s="1">
        <v>46115</v>
      </c>
      <c r="C251" t="s">
        <v>388</v>
      </c>
      <c r="D251" t="s">
        <v>29</v>
      </c>
      <c r="E251" t="s">
        <v>30</v>
      </c>
      <c r="F251">
        <v>1</v>
      </c>
      <c r="G251">
        <v>349</v>
      </c>
      <c r="H251">
        <v>0.2</v>
      </c>
      <c r="I251" t="s">
        <v>36</v>
      </c>
      <c r="J251" t="s">
        <v>58</v>
      </c>
      <c r="K251" t="s">
        <v>17</v>
      </c>
      <c r="L251">
        <v>69.800000000000011</v>
      </c>
      <c r="M251">
        <v>349</v>
      </c>
      <c r="N251">
        <v>279.2</v>
      </c>
      <c r="O251">
        <v>279.2</v>
      </c>
    </row>
    <row r="252" spans="1:15" x14ac:dyDescent="0.3">
      <c r="A252" t="s">
        <v>389</v>
      </c>
      <c r="B252" s="1">
        <v>46116</v>
      </c>
      <c r="C252" t="s">
        <v>97</v>
      </c>
      <c r="D252" t="s">
        <v>29</v>
      </c>
      <c r="E252" t="s">
        <v>85</v>
      </c>
      <c r="F252">
        <v>1</v>
      </c>
      <c r="G252">
        <v>299</v>
      </c>
      <c r="H252">
        <v>0.05</v>
      </c>
      <c r="I252" t="s">
        <v>40</v>
      </c>
      <c r="J252" t="s">
        <v>47</v>
      </c>
      <c r="K252" t="s">
        <v>24</v>
      </c>
      <c r="L252">
        <v>14.949999999999989</v>
      </c>
      <c r="M252">
        <v>299</v>
      </c>
      <c r="N252">
        <v>284.05</v>
      </c>
      <c r="O252">
        <v>0</v>
      </c>
    </row>
    <row r="253" spans="1:15" x14ac:dyDescent="0.3">
      <c r="A253" t="s">
        <v>390</v>
      </c>
      <c r="B253" s="1">
        <v>46116</v>
      </c>
      <c r="C253" t="s">
        <v>220</v>
      </c>
      <c r="D253" t="s">
        <v>20</v>
      </c>
      <c r="E253" t="s">
        <v>82</v>
      </c>
      <c r="F253">
        <v>1</v>
      </c>
      <c r="G253">
        <v>2299</v>
      </c>
      <c r="H253">
        <v>0.2</v>
      </c>
      <c r="I253" t="s">
        <v>36</v>
      </c>
      <c r="J253" t="s">
        <v>16</v>
      </c>
      <c r="K253" t="s">
        <v>17</v>
      </c>
      <c r="L253">
        <v>459.79999999999995</v>
      </c>
      <c r="M253">
        <v>2299</v>
      </c>
      <c r="N253">
        <v>1839.2</v>
      </c>
      <c r="O253">
        <v>1839.2</v>
      </c>
    </row>
    <row r="254" spans="1:15" x14ac:dyDescent="0.3">
      <c r="A254" t="s">
        <v>391</v>
      </c>
      <c r="B254" s="1">
        <v>46116</v>
      </c>
      <c r="C254" t="s">
        <v>392</v>
      </c>
      <c r="D254" t="s">
        <v>34</v>
      </c>
      <c r="E254" t="s">
        <v>53</v>
      </c>
      <c r="F254">
        <v>3</v>
      </c>
      <c r="G254">
        <v>899</v>
      </c>
      <c r="H254">
        <v>0</v>
      </c>
      <c r="I254" t="s">
        <v>40</v>
      </c>
      <c r="J254" t="s">
        <v>16</v>
      </c>
      <c r="K254" t="s">
        <v>17</v>
      </c>
      <c r="L254">
        <v>0</v>
      </c>
      <c r="M254">
        <v>2697</v>
      </c>
      <c r="N254">
        <v>2697</v>
      </c>
      <c r="O254">
        <v>2697</v>
      </c>
    </row>
    <row r="255" spans="1:15" x14ac:dyDescent="0.3">
      <c r="A255" t="s">
        <v>393</v>
      </c>
      <c r="B255" s="1">
        <v>46117</v>
      </c>
      <c r="C255" t="s">
        <v>130</v>
      </c>
      <c r="D255" t="s">
        <v>13</v>
      </c>
      <c r="E255" t="s">
        <v>14</v>
      </c>
      <c r="F255">
        <v>1</v>
      </c>
      <c r="G255">
        <v>499</v>
      </c>
      <c r="H255">
        <v>0.05</v>
      </c>
      <c r="I255" t="s">
        <v>36</v>
      </c>
      <c r="J255" t="s">
        <v>23</v>
      </c>
      <c r="K255" t="s">
        <v>17</v>
      </c>
      <c r="L255">
        <v>24.950000000000045</v>
      </c>
      <c r="M255">
        <v>499</v>
      </c>
      <c r="N255">
        <v>474.04999999999995</v>
      </c>
      <c r="O255">
        <v>474.04999999999995</v>
      </c>
    </row>
    <row r="256" spans="1:15" x14ac:dyDescent="0.3">
      <c r="A256" t="s">
        <v>394</v>
      </c>
      <c r="B256" s="1">
        <v>46117</v>
      </c>
      <c r="C256" t="s">
        <v>119</v>
      </c>
      <c r="D256" t="s">
        <v>29</v>
      </c>
      <c r="E256" t="s">
        <v>77</v>
      </c>
      <c r="F256">
        <v>2</v>
      </c>
      <c r="G256">
        <v>399</v>
      </c>
      <c r="H256">
        <v>0.15</v>
      </c>
      <c r="I256" t="s">
        <v>22</v>
      </c>
      <c r="J256" t="s">
        <v>58</v>
      </c>
      <c r="K256" t="s">
        <v>17</v>
      </c>
      <c r="L256">
        <v>119.70000000000005</v>
      </c>
      <c r="M256">
        <v>798</v>
      </c>
      <c r="N256">
        <v>678.3</v>
      </c>
      <c r="O256">
        <v>678.3</v>
      </c>
    </row>
    <row r="257" spans="1:15" x14ac:dyDescent="0.3">
      <c r="A257" t="s">
        <v>395</v>
      </c>
      <c r="B257" s="1">
        <v>46117</v>
      </c>
      <c r="C257" t="s">
        <v>293</v>
      </c>
      <c r="D257" t="s">
        <v>20</v>
      </c>
      <c r="E257" t="s">
        <v>82</v>
      </c>
      <c r="F257">
        <v>1</v>
      </c>
      <c r="G257">
        <v>2299</v>
      </c>
      <c r="H257">
        <v>0.05</v>
      </c>
      <c r="I257" t="s">
        <v>15</v>
      </c>
      <c r="J257" t="s">
        <v>23</v>
      </c>
      <c r="K257" t="s">
        <v>24</v>
      </c>
      <c r="L257">
        <v>114.95000000000027</v>
      </c>
      <c r="M257">
        <v>2299</v>
      </c>
      <c r="N257">
        <v>2184.0499999999997</v>
      </c>
      <c r="O257">
        <v>0</v>
      </c>
    </row>
    <row r="258" spans="1:15" x14ac:dyDescent="0.3">
      <c r="A258" t="s">
        <v>396</v>
      </c>
      <c r="B258" s="1">
        <v>46117</v>
      </c>
      <c r="C258" t="s">
        <v>192</v>
      </c>
      <c r="D258" t="s">
        <v>13</v>
      </c>
      <c r="E258" t="s">
        <v>125</v>
      </c>
      <c r="F258">
        <v>1</v>
      </c>
      <c r="G258">
        <v>1199</v>
      </c>
      <c r="H258">
        <v>0</v>
      </c>
      <c r="I258" t="s">
        <v>40</v>
      </c>
      <c r="J258" t="s">
        <v>58</v>
      </c>
      <c r="K258" t="s">
        <v>17</v>
      </c>
      <c r="L258">
        <v>0</v>
      </c>
      <c r="M258">
        <v>1199</v>
      </c>
      <c r="N258">
        <v>1199</v>
      </c>
      <c r="O258">
        <v>1199</v>
      </c>
    </row>
    <row r="259" spans="1:15" x14ac:dyDescent="0.3">
      <c r="A259" t="s">
        <v>397</v>
      </c>
      <c r="B259" s="1">
        <v>46118</v>
      </c>
      <c r="C259" t="s">
        <v>349</v>
      </c>
      <c r="D259" t="s">
        <v>20</v>
      </c>
      <c r="E259" t="s">
        <v>82</v>
      </c>
      <c r="F259">
        <v>2</v>
      </c>
      <c r="G259">
        <v>2299</v>
      </c>
      <c r="H259">
        <v>0.15</v>
      </c>
      <c r="I259" t="s">
        <v>15</v>
      </c>
      <c r="J259" t="s">
        <v>16</v>
      </c>
      <c r="K259" t="s">
        <v>17</v>
      </c>
      <c r="L259">
        <v>689.70000000000027</v>
      </c>
      <c r="M259">
        <v>4598</v>
      </c>
      <c r="N259">
        <v>3908.2999999999997</v>
      </c>
      <c r="O259">
        <v>3908.2999999999997</v>
      </c>
    </row>
    <row r="260" spans="1:15" x14ac:dyDescent="0.3">
      <c r="A260" t="s">
        <v>398</v>
      </c>
      <c r="B260" s="1">
        <v>46118</v>
      </c>
      <c r="C260" t="s">
        <v>196</v>
      </c>
      <c r="D260" t="s">
        <v>20</v>
      </c>
      <c r="E260" t="s">
        <v>72</v>
      </c>
      <c r="F260">
        <v>2</v>
      </c>
      <c r="G260">
        <v>1799</v>
      </c>
      <c r="H260">
        <v>0.1</v>
      </c>
      <c r="I260" t="s">
        <v>40</v>
      </c>
      <c r="J260" t="s">
        <v>23</v>
      </c>
      <c r="K260" t="s">
        <v>17</v>
      </c>
      <c r="L260">
        <v>359.79999999999973</v>
      </c>
      <c r="M260">
        <v>3598</v>
      </c>
      <c r="N260">
        <v>3238.2000000000003</v>
      </c>
      <c r="O260">
        <v>3238.2000000000003</v>
      </c>
    </row>
    <row r="261" spans="1:15" x14ac:dyDescent="0.3">
      <c r="A261" t="s">
        <v>399</v>
      </c>
      <c r="B261" s="1">
        <v>46119</v>
      </c>
      <c r="C261" t="s">
        <v>57</v>
      </c>
      <c r="D261" t="s">
        <v>13</v>
      </c>
      <c r="E261" t="s">
        <v>14</v>
      </c>
      <c r="F261">
        <v>1</v>
      </c>
      <c r="G261">
        <v>499</v>
      </c>
      <c r="H261">
        <v>0.2</v>
      </c>
      <c r="I261" t="s">
        <v>22</v>
      </c>
      <c r="J261" t="s">
        <v>16</v>
      </c>
      <c r="K261" t="s">
        <v>17</v>
      </c>
      <c r="L261">
        <v>99.799999999999955</v>
      </c>
      <c r="M261">
        <v>499</v>
      </c>
      <c r="N261">
        <v>399.20000000000005</v>
      </c>
      <c r="O261">
        <v>399.20000000000005</v>
      </c>
    </row>
    <row r="262" spans="1:15" x14ac:dyDescent="0.3">
      <c r="A262" t="s">
        <v>400</v>
      </c>
      <c r="B262" s="1">
        <v>46119</v>
      </c>
      <c r="C262" t="s">
        <v>354</v>
      </c>
      <c r="D262" t="s">
        <v>29</v>
      </c>
      <c r="E262" t="s">
        <v>122</v>
      </c>
      <c r="F262">
        <v>1</v>
      </c>
      <c r="G262">
        <v>249</v>
      </c>
      <c r="H262">
        <v>0.1</v>
      </c>
      <c r="I262" t="s">
        <v>22</v>
      </c>
      <c r="J262" t="s">
        <v>47</v>
      </c>
      <c r="K262" t="s">
        <v>24</v>
      </c>
      <c r="L262">
        <v>24.900000000000006</v>
      </c>
      <c r="M262">
        <v>249</v>
      </c>
      <c r="N262">
        <v>224.1</v>
      </c>
      <c r="O262">
        <v>0</v>
      </c>
    </row>
    <row r="263" spans="1:15" x14ac:dyDescent="0.3">
      <c r="A263" t="s">
        <v>401</v>
      </c>
      <c r="B263" s="1">
        <v>46119</v>
      </c>
      <c r="C263" t="s">
        <v>402</v>
      </c>
      <c r="D263" t="s">
        <v>34</v>
      </c>
      <c r="E263" t="s">
        <v>108</v>
      </c>
      <c r="F263">
        <v>1</v>
      </c>
      <c r="G263">
        <v>1599</v>
      </c>
      <c r="H263">
        <v>0.2</v>
      </c>
      <c r="I263" t="s">
        <v>15</v>
      </c>
      <c r="J263" t="s">
        <v>31</v>
      </c>
      <c r="K263" t="s">
        <v>17</v>
      </c>
      <c r="L263">
        <v>319.79999999999995</v>
      </c>
      <c r="M263">
        <v>1599</v>
      </c>
      <c r="N263">
        <v>1279.2</v>
      </c>
      <c r="O263">
        <v>1279.2</v>
      </c>
    </row>
    <row r="264" spans="1:15" x14ac:dyDescent="0.3">
      <c r="A264" t="s">
        <v>403</v>
      </c>
      <c r="B264" s="1">
        <v>46119</v>
      </c>
      <c r="C264" t="s">
        <v>148</v>
      </c>
      <c r="D264" t="s">
        <v>20</v>
      </c>
      <c r="E264" t="s">
        <v>72</v>
      </c>
      <c r="F264">
        <v>2</v>
      </c>
      <c r="G264">
        <v>1799</v>
      </c>
      <c r="H264">
        <v>0</v>
      </c>
      <c r="I264" t="s">
        <v>22</v>
      </c>
      <c r="J264" t="s">
        <v>16</v>
      </c>
      <c r="K264" t="s">
        <v>24</v>
      </c>
      <c r="L264">
        <v>0</v>
      </c>
      <c r="M264">
        <v>3598</v>
      </c>
      <c r="N264">
        <v>3598</v>
      </c>
      <c r="O264">
        <v>0</v>
      </c>
    </row>
    <row r="265" spans="1:15" x14ac:dyDescent="0.3">
      <c r="A265" t="s">
        <v>404</v>
      </c>
      <c r="B265" s="1">
        <v>46120</v>
      </c>
      <c r="C265" t="s">
        <v>62</v>
      </c>
      <c r="D265" t="s">
        <v>29</v>
      </c>
      <c r="E265" t="s">
        <v>122</v>
      </c>
      <c r="F265">
        <v>2</v>
      </c>
      <c r="G265">
        <v>249</v>
      </c>
      <c r="H265">
        <v>0.1</v>
      </c>
      <c r="I265" t="s">
        <v>15</v>
      </c>
      <c r="J265" t="s">
        <v>47</v>
      </c>
      <c r="K265" t="s">
        <v>17</v>
      </c>
      <c r="L265">
        <v>49.800000000000011</v>
      </c>
      <c r="M265">
        <v>498</v>
      </c>
      <c r="N265">
        <v>448.2</v>
      </c>
      <c r="O265">
        <v>448.2</v>
      </c>
    </row>
    <row r="266" spans="1:15" x14ac:dyDescent="0.3">
      <c r="A266" t="s">
        <v>405</v>
      </c>
      <c r="B266" s="1">
        <v>46120</v>
      </c>
      <c r="C266" t="s">
        <v>175</v>
      </c>
      <c r="D266" t="s">
        <v>29</v>
      </c>
      <c r="E266" t="s">
        <v>122</v>
      </c>
      <c r="F266">
        <v>1</v>
      </c>
      <c r="G266">
        <v>249</v>
      </c>
      <c r="H266">
        <v>0.2</v>
      </c>
      <c r="I266" t="s">
        <v>15</v>
      </c>
      <c r="J266" t="s">
        <v>47</v>
      </c>
      <c r="K266" t="s">
        <v>17</v>
      </c>
      <c r="L266">
        <v>49.799999999999983</v>
      </c>
      <c r="M266">
        <v>249</v>
      </c>
      <c r="N266">
        <v>199.20000000000002</v>
      </c>
      <c r="O266">
        <v>199.20000000000002</v>
      </c>
    </row>
    <row r="267" spans="1:15" x14ac:dyDescent="0.3">
      <c r="A267" t="s">
        <v>406</v>
      </c>
      <c r="B267" s="1">
        <v>46120</v>
      </c>
      <c r="C267" t="s">
        <v>196</v>
      </c>
      <c r="D267" t="s">
        <v>29</v>
      </c>
      <c r="E267" t="s">
        <v>30</v>
      </c>
      <c r="F267">
        <v>1</v>
      </c>
      <c r="G267">
        <v>349</v>
      </c>
      <c r="H267">
        <v>0.05</v>
      </c>
      <c r="I267" t="s">
        <v>15</v>
      </c>
      <c r="J267" t="s">
        <v>47</v>
      </c>
      <c r="K267" t="s">
        <v>17</v>
      </c>
      <c r="L267">
        <v>17.449999999999989</v>
      </c>
      <c r="M267">
        <v>349</v>
      </c>
      <c r="N267">
        <v>331.55</v>
      </c>
      <c r="O267">
        <v>331.55</v>
      </c>
    </row>
    <row r="268" spans="1:15" x14ac:dyDescent="0.3">
      <c r="A268" t="s">
        <v>407</v>
      </c>
      <c r="B268" s="1">
        <v>46121</v>
      </c>
      <c r="C268" t="s">
        <v>277</v>
      </c>
      <c r="D268" t="s">
        <v>29</v>
      </c>
      <c r="E268" t="s">
        <v>30</v>
      </c>
      <c r="F268">
        <v>1</v>
      </c>
      <c r="G268">
        <v>349</v>
      </c>
      <c r="H268">
        <v>0.15</v>
      </c>
      <c r="I268" t="s">
        <v>36</v>
      </c>
      <c r="J268" t="s">
        <v>31</v>
      </c>
      <c r="K268" t="s">
        <v>50</v>
      </c>
      <c r="L268">
        <v>52.350000000000023</v>
      </c>
      <c r="M268">
        <v>349</v>
      </c>
      <c r="N268">
        <v>296.64999999999998</v>
      </c>
      <c r="O268">
        <v>0</v>
      </c>
    </row>
    <row r="269" spans="1:15" x14ac:dyDescent="0.3">
      <c r="A269" t="s">
        <v>408</v>
      </c>
      <c r="B269" s="1">
        <v>46122</v>
      </c>
      <c r="C269" t="s">
        <v>33</v>
      </c>
      <c r="D269" t="s">
        <v>29</v>
      </c>
      <c r="E269" t="s">
        <v>122</v>
      </c>
      <c r="F269">
        <v>1</v>
      </c>
      <c r="G269">
        <v>249</v>
      </c>
      <c r="H269">
        <v>0.2</v>
      </c>
      <c r="I269" t="s">
        <v>36</v>
      </c>
      <c r="J269" t="s">
        <v>58</v>
      </c>
      <c r="K269" t="s">
        <v>17</v>
      </c>
      <c r="L269">
        <v>49.799999999999983</v>
      </c>
      <c r="M269">
        <v>249</v>
      </c>
      <c r="N269">
        <v>199.20000000000002</v>
      </c>
      <c r="O269">
        <v>199.20000000000002</v>
      </c>
    </row>
    <row r="270" spans="1:15" x14ac:dyDescent="0.3">
      <c r="A270" t="s">
        <v>409</v>
      </c>
      <c r="B270" s="1">
        <v>46122</v>
      </c>
      <c r="C270" t="s">
        <v>139</v>
      </c>
      <c r="D270" t="s">
        <v>29</v>
      </c>
      <c r="E270" t="s">
        <v>85</v>
      </c>
      <c r="F270">
        <v>1</v>
      </c>
      <c r="G270">
        <v>299</v>
      </c>
      <c r="H270">
        <v>0</v>
      </c>
      <c r="I270" t="s">
        <v>22</v>
      </c>
      <c r="J270" t="s">
        <v>31</v>
      </c>
      <c r="K270" t="s">
        <v>17</v>
      </c>
      <c r="L270">
        <v>0</v>
      </c>
      <c r="M270">
        <v>299</v>
      </c>
      <c r="N270">
        <v>299</v>
      </c>
      <c r="O270">
        <v>299</v>
      </c>
    </row>
    <row r="271" spans="1:15" x14ac:dyDescent="0.3">
      <c r="A271" t="s">
        <v>410</v>
      </c>
      <c r="B271" s="1">
        <v>46123</v>
      </c>
      <c r="C271" t="s">
        <v>291</v>
      </c>
      <c r="D271" t="s">
        <v>20</v>
      </c>
      <c r="E271" t="s">
        <v>98</v>
      </c>
      <c r="F271">
        <v>4</v>
      </c>
      <c r="G271">
        <v>999</v>
      </c>
      <c r="H271">
        <v>0.05</v>
      </c>
      <c r="I271" t="s">
        <v>15</v>
      </c>
      <c r="J271" t="s">
        <v>16</v>
      </c>
      <c r="K271" t="s">
        <v>17</v>
      </c>
      <c r="L271">
        <v>199.80000000000018</v>
      </c>
      <c r="M271">
        <v>3996</v>
      </c>
      <c r="N271">
        <v>3796.2</v>
      </c>
      <c r="O271">
        <v>3796.2</v>
      </c>
    </row>
    <row r="272" spans="1:15" x14ac:dyDescent="0.3">
      <c r="A272" t="s">
        <v>411</v>
      </c>
      <c r="B272" s="1">
        <v>46123</v>
      </c>
      <c r="C272" t="s">
        <v>192</v>
      </c>
      <c r="D272" t="s">
        <v>13</v>
      </c>
      <c r="E272" t="s">
        <v>69</v>
      </c>
      <c r="F272">
        <v>2</v>
      </c>
      <c r="G272">
        <v>299</v>
      </c>
      <c r="H272">
        <v>0.05</v>
      </c>
      <c r="I272" t="s">
        <v>22</v>
      </c>
      <c r="J272" t="s">
        <v>23</v>
      </c>
      <c r="K272" t="s">
        <v>17</v>
      </c>
      <c r="L272">
        <v>29.899999999999977</v>
      </c>
      <c r="M272">
        <v>598</v>
      </c>
      <c r="N272">
        <v>568.1</v>
      </c>
      <c r="O272">
        <v>568.1</v>
      </c>
    </row>
    <row r="273" spans="1:15" x14ac:dyDescent="0.3">
      <c r="A273" t="s">
        <v>412</v>
      </c>
      <c r="B273" s="1">
        <v>46124</v>
      </c>
      <c r="C273" t="s">
        <v>146</v>
      </c>
      <c r="D273" t="s">
        <v>13</v>
      </c>
      <c r="E273" t="s">
        <v>93</v>
      </c>
      <c r="F273">
        <v>3</v>
      </c>
      <c r="G273">
        <v>1499</v>
      </c>
      <c r="H273">
        <v>0.1</v>
      </c>
      <c r="I273" t="s">
        <v>40</v>
      </c>
      <c r="J273" t="s">
        <v>16</v>
      </c>
      <c r="K273" t="s">
        <v>17</v>
      </c>
      <c r="L273">
        <v>449.69999999999982</v>
      </c>
      <c r="M273">
        <v>4497</v>
      </c>
      <c r="N273">
        <v>4047.3</v>
      </c>
      <c r="O273">
        <v>4047.3</v>
      </c>
    </row>
    <row r="274" spans="1:15" x14ac:dyDescent="0.3">
      <c r="A274" t="s">
        <v>413</v>
      </c>
      <c r="B274" s="1">
        <v>46125</v>
      </c>
      <c r="C274" t="s">
        <v>414</v>
      </c>
      <c r="D274" t="s">
        <v>20</v>
      </c>
      <c r="E274" t="s">
        <v>72</v>
      </c>
      <c r="F274">
        <v>2</v>
      </c>
      <c r="G274">
        <v>1799</v>
      </c>
      <c r="H274">
        <v>0</v>
      </c>
      <c r="I274" t="s">
        <v>15</v>
      </c>
      <c r="J274" t="s">
        <v>58</v>
      </c>
      <c r="K274" t="s">
        <v>24</v>
      </c>
      <c r="L274">
        <v>0</v>
      </c>
      <c r="M274">
        <v>3598</v>
      </c>
      <c r="N274">
        <v>3598</v>
      </c>
      <c r="O274">
        <v>0</v>
      </c>
    </row>
    <row r="275" spans="1:15" x14ac:dyDescent="0.3">
      <c r="A275" t="s">
        <v>415</v>
      </c>
      <c r="B275" s="1">
        <v>46126</v>
      </c>
      <c r="C275" t="s">
        <v>349</v>
      </c>
      <c r="D275" t="s">
        <v>34</v>
      </c>
      <c r="E275" t="s">
        <v>63</v>
      </c>
      <c r="F275">
        <v>1</v>
      </c>
      <c r="G275">
        <v>599</v>
      </c>
      <c r="H275">
        <v>0.2</v>
      </c>
      <c r="I275" t="s">
        <v>22</v>
      </c>
      <c r="J275" t="s">
        <v>31</v>
      </c>
      <c r="K275" t="s">
        <v>24</v>
      </c>
      <c r="L275">
        <v>119.79999999999995</v>
      </c>
      <c r="M275">
        <v>599</v>
      </c>
      <c r="N275">
        <v>479.20000000000005</v>
      </c>
      <c r="O275">
        <v>0</v>
      </c>
    </row>
    <row r="276" spans="1:15" x14ac:dyDescent="0.3">
      <c r="A276" t="s">
        <v>416</v>
      </c>
      <c r="B276" s="1">
        <v>46126</v>
      </c>
      <c r="C276" t="s">
        <v>150</v>
      </c>
      <c r="D276" t="s">
        <v>29</v>
      </c>
      <c r="E276" t="s">
        <v>46</v>
      </c>
      <c r="F276">
        <v>1</v>
      </c>
      <c r="G276">
        <v>199</v>
      </c>
      <c r="H276">
        <v>0.2</v>
      </c>
      <c r="I276" t="s">
        <v>36</v>
      </c>
      <c r="J276" t="s">
        <v>47</v>
      </c>
      <c r="K276" t="s">
        <v>17</v>
      </c>
      <c r="L276">
        <v>39.799999999999983</v>
      </c>
      <c r="M276">
        <v>199</v>
      </c>
      <c r="N276">
        <v>159.20000000000002</v>
      </c>
      <c r="O276">
        <v>159.20000000000002</v>
      </c>
    </row>
    <row r="277" spans="1:15" x14ac:dyDescent="0.3">
      <c r="A277" t="s">
        <v>417</v>
      </c>
      <c r="B277" s="1">
        <v>46126</v>
      </c>
      <c r="C277" t="s">
        <v>84</v>
      </c>
      <c r="D277" t="s">
        <v>13</v>
      </c>
      <c r="E277" t="s">
        <v>125</v>
      </c>
      <c r="F277">
        <v>1</v>
      </c>
      <c r="G277">
        <v>1199</v>
      </c>
      <c r="H277">
        <v>0.15</v>
      </c>
      <c r="I277" t="s">
        <v>40</v>
      </c>
      <c r="J277" t="s">
        <v>58</v>
      </c>
      <c r="K277" t="s">
        <v>17</v>
      </c>
      <c r="L277">
        <v>179.85000000000002</v>
      </c>
      <c r="M277">
        <v>1199</v>
      </c>
      <c r="N277">
        <v>1019.15</v>
      </c>
      <c r="O277">
        <v>1019.15</v>
      </c>
    </row>
    <row r="278" spans="1:15" x14ac:dyDescent="0.3">
      <c r="A278" t="s">
        <v>418</v>
      </c>
      <c r="B278" s="1">
        <v>46127</v>
      </c>
      <c r="C278" t="s">
        <v>272</v>
      </c>
      <c r="D278" t="s">
        <v>20</v>
      </c>
      <c r="E278" t="s">
        <v>98</v>
      </c>
      <c r="F278">
        <v>1</v>
      </c>
      <c r="G278">
        <v>999</v>
      </c>
      <c r="H278">
        <v>0.15</v>
      </c>
      <c r="I278" t="s">
        <v>22</v>
      </c>
      <c r="J278" t="s">
        <v>31</v>
      </c>
      <c r="K278" t="s">
        <v>17</v>
      </c>
      <c r="L278">
        <v>149.85000000000002</v>
      </c>
      <c r="M278">
        <v>999</v>
      </c>
      <c r="N278">
        <v>849.15</v>
      </c>
      <c r="O278">
        <v>849.15</v>
      </c>
    </row>
    <row r="279" spans="1:15" x14ac:dyDescent="0.3">
      <c r="A279" t="s">
        <v>419</v>
      </c>
      <c r="B279" s="1">
        <v>46127</v>
      </c>
      <c r="C279" t="s">
        <v>49</v>
      </c>
      <c r="D279" t="s">
        <v>20</v>
      </c>
      <c r="E279" t="s">
        <v>82</v>
      </c>
      <c r="F279">
        <v>4</v>
      </c>
      <c r="G279">
        <v>2299</v>
      </c>
      <c r="H279">
        <v>0.05</v>
      </c>
      <c r="I279" t="s">
        <v>15</v>
      </c>
      <c r="J279" t="s">
        <v>58</v>
      </c>
      <c r="K279" t="s">
        <v>17</v>
      </c>
      <c r="L279">
        <v>459.80000000000109</v>
      </c>
      <c r="M279">
        <v>9196</v>
      </c>
      <c r="N279">
        <v>8736.1999999999989</v>
      </c>
      <c r="O279">
        <v>8736.1999999999989</v>
      </c>
    </row>
    <row r="280" spans="1:15" x14ac:dyDescent="0.3">
      <c r="A280" t="s">
        <v>420</v>
      </c>
      <c r="B280" s="1">
        <v>46127</v>
      </c>
      <c r="C280" t="s">
        <v>175</v>
      </c>
      <c r="D280" t="s">
        <v>13</v>
      </c>
      <c r="E280" t="s">
        <v>14</v>
      </c>
      <c r="F280">
        <v>2</v>
      </c>
      <c r="G280">
        <v>499</v>
      </c>
      <c r="H280">
        <v>0</v>
      </c>
      <c r="I280" t="s">
        <v>15</v>
      </c>
      <c r="J280" t="s">
        <v>31</v>
      </c>
      <c r="K280" t="s">
        <v>17</v>
      </c>
      <c r="L280">
        <v>0</v>
      </c>
      <c r="M280">
        <v>998</v>
      </c>
      <c r="N280">
        <v>998</v>
      </c>
      <c r="O280">
        <v>998</v>
      </c>
    </row>
    <row r="281" spans="1:15" x14ac:dyDescent="0.3">
      <c r="A281" t="s">
        <v>421</v>
      </c>
      <c r="B281" s="1">
        <v>46127</v>
      </c>
      <c r="C281" t="s">
        <v>141</v>
      </c>
      <c r="D281" t="s">
        <v>20</v>
      </c>
      <c r="E281" t="s">
        <v>72</v>
      </c>
      <c r="F281">
        <v>1</v>
      </c>
      <c r="G281">
        <v>1799</v>
      </c>
      <c r="H281">
        <v>0.1</v>
      </c>
      <c r="I281" t="s">
        <v>40</v>
      </c>
      <c r="J281" t="s">
        <v>31</v>
      </c>
      <c r="K281" t="s">
        <v>17</v>
      </c>
      <c r="L281">
        <v>179.89999999999986</v>
      </c>
      <c r="M281">
        <v>1799</v>
      </c>
      <c r="N281">
        <v>1619.1000000000001</v>
      </c>
      <c r="O281">
        <v>1619.1000000000001</v>
      </c>
    </row>
    <row r="282" spans="1:15" x14ac:dyDescent="0.3">
      <c r="A282" t="s">
        <v>422</v>
      </c>
      <c r="B282" s="1">
        <v>46127</v>
      </c>
      <c r="C282" t="s">
        <v>194</v>
      </c>
      <c r="D282" t="s">
        <v>34</v>
      </c>
      <c r="E282" t="s">
        <v>63</v>
      </c>
      <c r="F282">
        <v>2</v>
      </c>
      <c r="G282">
        <v>599</v>
      </c>
      <c r="H282">
        <v>0</v>
      </c>
      <c r="I282" t="s">
        <v>22</v>
      </c>
      <c r="J282" t="s">
        <v>23</v>
      </c>
      <c r="K282" t="s">
        <v>50</v>
      </c>
      <c r="L282">
        <v>0</v>
      </c>
      <c r="M282">
        <v>1198</v>
      </c>
      <c r="N282">
        <v>1198</v>
      </c>
      <c r="O282">
        <v>0</v>
      </c>
    </row>
    <row r="283" spans="1:15" x14ac:dyDescent="0.3">
      <c r="A283" t="s">
        <v>423</v>
      </c>
      <c r="B283" s="1">
        <v>46128</v>
      </c>
      <c r="C283" t="s">
        <v>209</v>
      </c>
      <c r="D283" t="s">
        <v>29</v>
      </c>
      <c r="E283" t="s">
        <v>122</v>
      </c>
      <c r="F283">
        <v>1</v>
      </c>
      <c r="G283">
        <v>249</v>
      </c>
      <c r="H283">
        <v>0</v>
      </c>
      <c r="I283" t="s">
        <v>22</v>
      </c>
      <c r="J283" t="s">
        <v>31</v>
      </c>
      <c r="K283" t="s">
        <v>17</v>
      </c>
      <c r="L283">
        <v>0</v>
      </c>
      <c r="M283">
        <v>249</v>
      </c>
      <c r="N283">
        <v>249</v>
      </c>
      <c r="O283">
        <v>249</v>
      </c>
    </row>
    <row r="284" spans="1:15" x14ac:dyDescent="0.3">
      <c r="A284" t="s">
        <v>424</v>
      </c>
      <c r="B284" s="1">
        <v>46128</v>
      </c>
      <c r="C284" t="s">
        <v>291</v>
      </c>
      <c r="D284" t="s">
        <v>34</v>
      </c>
      <c r="E284" t="s">
        <v>63</v>
      </c>
      <c r="F284">
        <v>4</v>
      </c>
      <c r="G284">
        <v>599</v>
      </c>
      <c r="H284">
        <v>0.2</v>
      </c>
      <c r="I284" t="s">
        <v>22</v>
      </c>
      <c r="J284" t="s">
        <v>31</v>
      </c>
      <c r="K284" t="s">
        <v>17</v>
      </c>
      <c r="L284">
        <v>479.19999999999982</v>
      </c>
      <c r="M284">
        <v>2396</v>
      </c>
      <c r="N284">
        <v>1916.8000000000002</v>
      </c>
      <c r="O284">
        <v>1916.8000000000002</v>
      </c>
    </row>
    <row r="285" spans="1:15" x14ac:dyDescent="0.3">
      <c r="A285" t="s">
        <v>425</v>
      </c>
      <c r="B285" s="1">
        <v>46128</v>
      </c>
      <c r="C285" t="s">
        <v>74</v>
      </c>
      <c r="D285" t="s">
        <v>13</v>
      </c>
      <c r="E285" t="s">
        <v>93</v>
      </c>
      <c r="F285">
        <v>1</v>
      </c>
      <c r="G285">
        <v>1499</v>
      </c>
      <c r="H285">
        <v>0.1</v>
      </c>
      <c r="I285" t="s">
        <v>36</v>
      </c>
      <c r="J285" t="s">
        <v>58</v>
      </c>
      <c r="K285" t="s">
        <v>17</v>
      </c>
      <c r="L285">
        <v>149.89999999999986</v>
      </c>
      <c r="M285">
        <v>1499</v>
      </c>
      <c r="N285">
        <v>1349.1000000000001</v>
      </c>
      <c r="O285">
        <v>1349.1000000000001</v>
      </c>
    </row>
    <row r="286" spans="1:15" x14ac:dyDescent="0.3">
      <c r="A286" t="s">
        <v>426</v>
      </c>
      <c r="B286" s="1">
        <v>46129</v>
      </c>
      <c r="C286" t="s">
        <v>209</v>
      </c>
      <c r="D286" t="s">
        <v>13</v>
      </c>
      <c r="E286" t="s">
        <v>125</v>
      </c>
      <c r="F286">
        <v>1</v>
      </c>
      <c r="G286">
        <v>1199</v>
      </c>
      <c r="H286">
        <v>0</v>
      </c>
      <c r="I286" t="s">
        <v>22</v>
      </c>
      <c r="J286" t="s">
        <v>47</v>
      </c>
      <c r="K286" t="s">
        <v>24</v>
      </c>
      <c r="L286">
        <v>0</v>
      </c>
      <c r="M286">
        <v>1199</v>
      </c>
      <c r="N286">
        <v>1199</v>
      </c>
      <c r="O286">
        <v>0</v>
      </c>
    </row>
    <row r="287" spans="1:15" x14ac:dyDescent="0.3">
      <c r="A287" t="s">
        <v>427</v>
      </c>
      <c r="B287" s="1">
        <v>46129</v>
      </c>
      <c r="C287" t="s">
        <v>38</v>
      </c>
      <c r="D287" t="s">
        <v>34</v>
      </c>
      <c r="E287" t="s">
        <v>35</v>
      </c>
      <c r="F287">
        <v>1</v>
      </c>
      <c r="G287">
        <v>6499</v>
      </c>
      <c r="H287">
        <v>0.2</v>
      </c>
      <c r="I287" t="s">
        <v>22</v>
      </c>
      <c r="J287" t="s">
        <v>16</v>
      </c>
      <c r="K287" t="s">
        <v>24</v>
      </c>
      <c r="L287">
        <v>1299.7999999999993</v>
      </c>
      <c r="M287">
        <v>6499</v>
      </c>
      <c r="N287">
        <v>5199.2000000000007</v>
      </c>
      <c r="O287">
        <v>0</v>
      </c>
    </row>
    <row r="288" spans="1:15" x14ac:dyDescent="0.3">
      <c r="A288" t="s">
        <v>428</v>
      </c>
      <c r="B288" s="1">
        <v>46129</v>
      </c>
      <c r="C288" t="s">
        <v>168</v>
      </c>
      <c r="D288" t="s">
        <v>29</v>
      </c>
      <c r="E288" t="s">
        <v>77</v>
      </c>
      <c r="F288">
        <v>2</v>
      </c>
      <c r="G288">
        <v>399</v>
      </c>
      <c r="H288">
        <v>0.05</v>
      </c>
      <c r="I288" t="s">
        <v>36</v>
      </c>
      <c r="J288" t="s">
        <v>23</v>
      </c>
      <c r="K288" t="s">
        <v>17</v>
      </c>
      <c r="L288">
        <v>39.900000000000091</v>
      </c>
      <c r="M288">
        <v>798</v>
      </c>
      <c r="N288">
        <v>758.09999999999991</v>
      </c>
      <c r="O288">
        <v>758.09999999999991</v>
      </c>
    </row>
    <row r="289" spans="1:15" x14ac:dyDescent="0.3">
      <c r="A289" t="s">
        <v>429</v>
      </c>
      <c r="B289" s="1">
        <v>46129</v>
      </c>
      <c r="C289" t="s">
        <v>49</v>
      </c>
      <c r="D289" t="s">
        <v>20</v>
      </c>
      <c r="E289" t="s">
        <v>66</v>
      </c>
      <c r="F289">
        <v>2</v>
      </c>
      <c r="G289">
        <v>799</v>
      </c>
      <c r="H289">
        <v>0.2</v>
      </c>
      <c r="I289" t="s">
        <v>22</v>
      </c>
      <c r="J289" t="s">
        <v>47</v>
      </c>
      <c r="K289" t="s">
        <v>17</v>
      </c>
      <c r="L289">
        <v>319.59999999999991</v>
      </c>
      <c r="M289">
        <v>1598</v>
      </c>
      <c r="N289">
        <v>1278.4000000000001</v>
      </c>
      <c r="O289">
        <v>1278.4000000000001</v>
      </c>
    </row>
    <row r="290" spans="1:15" x14ac:dyDescent="0.3">
      <c r="A290" t="s">
        <v>430</v>
      </c>
      <c r="B290" s="1">
        <v>46129</v>
      </c>
      <c r="C290" t="s">
        <v>173</v>
      </c>
      <c r="D290" t="s">
        <v>29</v>
      </c>
      <c r="E290" t="s">
        <v>122</v>
      </c>
      <c r="F290">
        <v>1</v>
      </c>
      <c r="G290">
        <v>249</v>
      </c>
      <c r="H290">
        <v>0.2</v>
      </c>
      <c r="I290" t="s">
        <v>15</v>
      </c>
      <c r="J290" t="s">
        <v>47</v>
      </c>
      <c r="K290" t="s">
        <v>50</v>
      </c>
      <c r="L290">
        <v>49.799999999999983</v>
      </c>
      <c r="M290">
        <v>249</v>
      </c>
      <c r="N290">
        <v>199.20000000000002</v>
      </c>
      <c r="O290">
        <v>0</v>
      </c>
    </row>
    <row r="291" spans="1:15" x14ac:dyDescent="0.3">
      <c r="A291" t="s">
        <v>431</v>
      </c>
      <c r="B291" s="1">
        <v>46130</v>
      </c>
      <c r="C291" t="s">
        <v>107</v>
      </c>
      <c r="D291" t="s">
        <v>29</v>
      </c>
      <c r="E291" t="s">
        <v>30</v>
      </c>
      <c r="F291">
        <v>2</v>
      </c>
      <c r="G291">
        <v>349</v>
      </c>
      <c r="H291">
        <v>0.15</v>
      </c>
      <c r="I291" t="s">
        <v>22</v>
      </c>
      <c r="J291" t="s">
        <v>16</v>
      </c>
      <c r="K291" t="s">
        <v>17</v>
      </c>
      <c r="L291">
        <v>104.70000000000005</v>
      </c>
      <c r="M291">
        <v>698</v>
      </c>
      <c r="N291">
        <v>593.29999999999995</v>
      </c>
      <c r="O291">
        <v>593.29999999999995</v>
      </c>
    </row>
    <row r="292" spans="1:15" x14ac:dyDescent="0.3">
      <c r="A292" t="s">
        <v>432</v>
      </c>
      <c r="B292" s="1">
        <v>46131</v>
      </c>
      <c r="C292" t="s">
        <v>62</v>
      </c>
      <c r="D292" t="s">
        <v>20</v>
      </c>
      <c r="E292" t="s">
        <v>21</v>
      </c>
      <c r="F292">
        <v>1</v>
      </c>
      <c r="G292">
        <v>1299</v>
      </c>
      <c r="H292">
        <v>0.05</v>
      </c>
      <c r="I292" t="s">
        <v>22</v>
      </c>
      <c r="J292" t="s">
        <v>58</v>
      </c>
      <c r="K292" t="s">
        <v>50</v>
      </c>
      <c r="L292">
        <v>64.950000000000045</v>
      </c>
      <c r="M292">
        <v>1299</v>
      </c>
      <c r="N292">
        <v>1234.05</v>
      </c>
      <c r="O292">
        <v>0</v>
      </c>
    </row>
    <row r="293" spans="1:15" x14ac:dyDescent="0.3">
      <c r="A293" t="s">
        <v>433</v>
      </c>
      <c r="B293" s="1">
        <v>46131</v>
      </c>
      <c r="C293" t="s">
        <v>434</v>
      </c>
      <c r="D293" t="s">
        <v>20</v>
      </c>
      <c r="E293" t="s">
        <v>21</v>
      </c>
      <c r="F293">
        <v>4</v>
      </c>
      <c r="G293">
        <v>1299</v>
      </c>
      <c r="H293">
        <v>0.2</v>
      </c>
      <c r="I293" t="s">
        <v>22</v>
      </c>
      <c r="J293" t="s">
        <v>47</v>
      </c>
      <c r="K293" t="s">
        <v>17</v>
      </c>
      <c r="L293">
        <v>1039.1999999999998</v>
      </c>
      <c r="M293">
        <v>5196</v>
      </c>
      <c r="N293">
        <v>4156.8</v>
      </c>
      <c r="O293">
        <v>4156.8</v>
      </c>
    </row>
    <row r="294" spans="1:15" x14ac:dyDescent="0.3">
      <c r="A294" t="s">
        <v>435</v>
      </c>
      <c r="B294" s="1">
        <v>46131</v>
      </c>
      <c r="C294" t="s">
        <v>57</v>
      </c>
      <c r="D294" t="s">
        <v>29</v>
      </c>
      <c r="E294" t="s">
        <v>30</v>
      </c>
      <c r="F294">
        <v>2</v>
      </c>
      <c r="G294">
        <v>349</v>
      </c>
      <c r="H294">
        <v>0.05</v>
      </c>
      <c r="I294" t="s">
        <v>22</v>
      </c>
      <c r="J294" t="s">
        <v>47</v>
      </c>
      <c r="K294" t="s">
        <v>17</v>
      </c>
      <c r="L294">
        <v>34.899999999999977</v>
      </c>
      <c r="M294">
        <v>698</v>
      </c>
      <c r="N294">
        <v>663.1</v>
      </c>
      <c r="O294">
        <v>663.1</v>
      </c>
    </row>
    <row r="295" spans="1:15" x14ac:dyDescent="0.3">
      <c r="A295" t="s">
        <v>436</v>
      </c>
      <c r="B295" s="1">
        <v>46131</v>
      </c>
      <c r="C295" t="s">
        <v>144</v>
      </c>
      <c r="D295" t="s">
        <v>13</v>
      </c>
      <c r="E295" t="s">
        <v>93</v>
      </c>
      <c r="F295">
        <v>2</v>
      </c>
      <c r="G295">
        <v>1499</v>
      </c>
      <c r="H295">
        <v>0.05</v>
      </c>
      <c r="I295" t="s">
        <v>15</v>
      </c>
      <c r="J295" t="s">
        <v>31</v>
      </c>
      <c r="K295" t="s">
        <v>17</v>
      </c>
      <c r="L295">
        <v>149.90000000000009</v>
      </c>
      <c r="M295">
        <v>2998</v>
      </c>
      <c r="N295">
        <v>2848.1</v>
      </c>
      <c r="O295">
        <v>2848.1</v>
      </c>
    </row>
    <row r="296" spans="1:15" x14ac:dyDescent="0.3">
      <c r="A296" t="s">
        <v>437</v>
      </c>
      <c r="B296" s="1">
        <v>46132</v>
      </c>
      <c r="C296" t="s">
        <v>182</v>
      </c>
      <c r="D296" t="s">
        <v>29</v>
      </c>
      <c r="E296" t="s">
        <v>122</v>
      </c>
      <c r="F296">
        <v>1</v>
      </c>
      <c r="G296">
        <v>249</v>
      </c>
      <c r="H296">
        <v>0.1</v>
      </c>
      <c r="I296" t="s">
        <v>36</v>
      </c>
      <c r="J296" t="s">
        <v>47</v>
      </c>
      <c r="K296" t="s">
        <v>17</v>
      </c>
      <c r="L296">
        <v>24.900000000000006</v>
      </c>
      <c r="M296">
        <v>249</v>
      </c>
      <c r="N296">
        <v>224.1</v>
      </c>
      <c r="O296">
        <v>224.1</v>
      </c>
    </row>
    <row r="297" spans="1:15" x14ac:dyDescent="0.3">
      <c r="A297" t="s">
        <v>438</v>
      </c>
      <c r="B297" s="1">
        <v>46132</v>
      </c>
      <c r="C297" t="s">
        <v>196</v>
      </c>
      <c r="D297" t="s">
        <v>20</v>
      </c>
      <c r="E297" t="s">
        <v>98</v>
      </c>
      <c r="F297">
        <v>2</v>
      </c>
      <c r="G297">
        <v>999</v>
      </c>
      <c r="H297">
        <v>0.15</v>
      </c>
      <c r="I297" t="s">
        <v>40</v>
      </c>
      <c r="J297" t="s">
        <v>23</v>
      </c>
      <c r="K297" t="s">
        <v>17</v>
      </c>
      <c r="L297">
        <v>299.70000000000005</v>
      </c>
      <c r="M297">
        <v>1998</v>
      </c>
      <c r="N297">
        <v>1698.3</v>
      </c>
      <c r="O297">
        <v>1698.3</v>
      </c>
    </row>
    <row r="298" spans="1:15" x14ac:dyDescent="0.3">
      <c r="A298" t="s">
        <v>439</v>
      </c>
      <c r="B298" s="1">
        <v>46132</v>
      </c>
      <c r="C298" t="s">
        <v>388</v>
      </c>
      <c r="D298" t="s">
        <v>13</v>
      </c>
      <c r="E298" t="s">
        <v>231</v>
      </c>
      <c r="F298">
        <v>1</v>
      </c>
      <c r="G298">
        <v>699</v>
      </c>
      <c r="H298">
        <v>0.2</v>
      </c>
      <c r="I298" t="s">
        <v>36</v>
      </c>
      <c r="J298" t="s">
        <v>58</v>
      </c>
      <c r="K298" t="s">
        <v>50</v>
      </c>
      <c r="L298">
        <v>139.79999999999995</v>
      </c>
      <c r="M298">
        <v>699</v>
      </c>
      <c r="N298">
        <v>559.20000000000005</v>
      </c>
      <c r="O298">
        <v>0</v>
      </c>
    </row>
    <row r="299" spans="1:15" x14ac:dyDescent="0.3">
      <c r="A299" t="s">
        <v>440</v>
      </c>
      <c r="B299" s="1">
        <v>46132</v>
      </c>
      <c r="C299" t="s">
        <v>137</v>
      </c>
      <c r="D299" t="s">
        <v>20</v>
      </c>
      <c r="E299" t="s">
        <v>66</v>
      </c>
      <c r="F299">
        <v>2</v>
      </c>
      <c r="G299">
        <v>799</v>
      </c>
      <c r="H299">
        <v>0.05</v>
      </c>
      <c r="I299" t="s">
        <v>22</v>
      </c>
      <c r="J299" t="s">
        <v>23</v>
      </c>
      <c r="K299" t="s">
        <v>24</v>
      </c>
      <c r="L299">
        <v>79.900000000000091</v>
      </c>
      <c r="M299">
        <v>1598</v>
      </c>
      <c r="N299">
        <v>1518.1</v>
      </c>
      <c r="O299">
        <v>0</v>
      </c>
    </row>
    <row r="300" spans="1:15" x14ac:dyDescent="0.3">
      <c r="A300" t="s">
        <v>441</v>
      </c>
      <c r="B300" s="1">
        <v>46134</v>
      </c>
      <c r="C300" t="s">
        <v>95</v>
      </c>
      <c r="D300" t="s">
        <v>29</v>
      </c>
      <c r="E300" t="s">
        <v>46</v>
      </c>
      <c r="F300">
        <v>1</v>
      </c>
      <c r="G300">
        <v>199</v>
      </c>
      <c r="H300">
        <v>0.2</v>
      </c>
      <c r="I300" t="s">
        <v>40</v>
      </c>
      <c r="J300" t="s">
        <v>31</v>
      </c>
      <c r="K300" t="s">
        <v>24</v>
      </c>
      <c r="L300">
        <v>39.799999999999983</v>
      </c>
      <c r="M300">
        <v>199</v>
      </c>
      <c r="N300">
        <v>159.20000000000002</v>
      </c>
      <c r="O300">
        <v>0</v>
      </c>
    </row>
    <row r="301" spans="1:15" x14ac:dyDescent="0.3">
      <c r="A301" t="s">
        <v>442</v>
      </c>
      <c r="B301" s="1">
        <v>46134</v>
      </c>
      <c r="C301" t="s">
        <v>28</v>
      </c>
      <c r="D301" t="s">
        <v>34</v>
      </c>
      <c r="E301" t="s">
        <v>63</v>
      </c>
      <c r="F301">
        <v>1</v>
      </c>
      <c r="G301">
        <v>599</v>
      </c>
      <c r="H301">
        <v>0.15</v>
      </c>
      <c r="I301" t="s">
        <v>40</v>
      </c>
      <c r="J301" t="s">
        <v>31</v>
      </c>
      <c r="K301" t="s">
        <v>17</v>
      </c>
      <c r="L301">
        <v>89.850000000000023</v>
      </c>
      <c r="M301">
        <v>599</v>
      </c>
      <c r="N301">
        <v>509.15</v>
      </c>
      <c r="O301">
        <v>509.15</v>
      </c>
    </row>
    <row r="302" spans="1:15" x14ac:dyDescent="0.3">
      <c r="A302" t="s">
        <v>443</v>
      </c>
      <c r="B302" s="1">
        <v>46134</v>
      </c>
      <c r="C302" t="s">
        <v>235</v>
      </c>
      <c r="D302" t="s">
        <v>34</v>
      </c>
      <c r="E302" t="s">
        <v>63</v>
      </c>
      <c r="F302">
        <v>1</v>
      </c>
      <c r="G302">
        <v>599</v>
      </c>
      <c r="H302">
        <v>0</v>
      </c>
      <c r="I302" t="s">
        <v>36</v>
      </c>
      <c r="J302" t="s">
        <v>23</v>
      </c>
      <c r="K302" t="s">
        <v>17</v>
      </c>
      <c r="L302">
        <v>0</v>
      </c>
      <c r="M302">
        <v>599</v>
      </c>
      <c r="N302">
        <v>599</v>
      </c>
      <c r="O302">
        <v>599</v>
      </c>
    </row>
    <row r="303" spans="1:15" x14ac:dyDescent="0.3">
      <c r="A303" t="s">
        <v>444</v>
      </c>
      <c r="B303" s="1">
        <v>46135</v>
      </c>
      <c r="C303" t="s">
        <v>19</v>
      </c>
      <c r="D303" t="s">
        <v>34</v>
      </c>
      <c r="E303" t="s">
        <v>108</v>
      </c>
      <c r="F303">
        <v>1</v>
      </c>
      <c r="G303">
        <v>1599</v>
      </c>
      <c r="H303">
        <v>0.1</v>
      </c>
      <c r="I303" t="s">
        <v>22</v>
      </c>
      <c r="J303" t="s">
        <v>16</v>
      </c>
      <c r="K303" t="s">
        <v>17</v>
      </c>
      <c r="L303">
        <v>159.89999999999986</v>
      </c>
      <c r="M303">
        <v>1599</v>
      </c>
      <c r="N303">
        <v>1439.1000000000001</v>
      </c>
      <c r="O303">
        <v>1439.1000000000001</v>
      </c>
    </row>
    <row r="304" spans="1:15" x14ac:dyDescent="0.3">
      <c r="A304" t="s">
        <v>445</v>
      </c>
      <c r="B304" s="1">
        <v>46135</v>
      </c>
      <c r="C304" t="s">
        <v>209</v>
      </c>
      <c r="D304" t="s">
        <v>34</v>
      </c>
      <c r="E304" t="s">
        <v>53</v>
      </c>
      <c r="F304">
        <v>4</v>
      </c>
      <c r="G304">
        <v>899</v>
      </c>
      <c r="H304">
        <v>0.1</v>
      </c>
      <c r="I304" t="s">
        <v>36</v>
      </c>
      <c r="J304" t="s">
        <v>23</v>
      </c>
      <c r="K304" t="s">
        <v>17</v>
      </c>
      <c r="L304">
        <v>359.59999999999991</v>
      </c>
      <c r="M304">
        <v>3596</v>
      </c>
      <c r="N304">
        <v>3236.4</v>
      </c>
      <c r="O304">
        <v>3236.4</v>
      </c>
    </row>
    <row r="305" spans="1:15" x14ac:dyDescent="0.3">
      <c r="A305" t="s">
        <v>446</v>
      </c>
      <c r="B305" s="1">
        <v>46135</v>
      </c>
      <c r="C305" t="s">
        <v>81</v>
      </c>
      <c r="D305" t="s">
        <v>13</v>
      </c>
      <c r="E305" t="s">
        <v>69</v>
      </c>
      <c r="F305">
        <v>1</v>
      </c>
      <c r="G305">
        <v>299</v>
      </c>
      <c r="H305">
        <v>0.05</v>
      </c>
      <c r="I305" t="s">
        <v>40</v>
      </c>
      <c r="J305" t="s">
        <v>47</v>
      </c>
      <c r="K305" t="s">
        <v>17</v>
      </c>
      <c r="L305">
        <v>14.949999999999989</v>
      </c>
      <c r="M305">
        <v>299</v>
      </c>
      <c r="N305">
        <v>284.05</v>
      </c>
      <c r="O305">
        <v>284.05</v>
      </c>
    </row>
    <row r="306" spans="1:15" x14ac:dyDescent="0.3">
      <c r="A306" t="s">
        <v>447</v>
      </c>
      <c r="B306" s="1">
        <v>46135</v>
      </c>
      <c r="C306" t="s">
        <v>265</v>
      </c>
      <c r="D306" t="s">
        <v>13</v>
      </c>
      <c r="E306" t="s">
        <v>93</v>
      </c>
      <c r="F306">
        <v>1</v>
      </c>
      <c r="G306">
        <v>1499</v>
      </c>
      <c r="H306">
        <v>0.1</v>
      </c>
      <c r="I306" t="s">
        <v>22</v>
      </c>
      <c r="J306" t="s">
        <v>16</v>
      </c>
      <c r="K306" t="s">
        <v>17</v>
      </c>
      <c r="L306">
        <v>149.89999999999986</v>
      </c>
      <c r="M306">
        <v>1499</v>
      </c>
      <c r="N306">
        <v>1349.1000000000001</v>
      </c>
      <c r="O306">
        <v>1349.1000000000001</v>
      </c>
    </row>
    <row r="307" spans="1:15" x14ac:dyDescent="0.3">
      <c r="A307" t="s">
        <v>448</v>
      </c>
      <c r="B307" s="1">
        <v>46135</v>
      </c>
      <c r="C307" t="s">
        <v>71</v>
      </c>
      <c r="D307" t="s">
        <v>20</v>
      </c>
      <c r="E307" t="s">
        <v>66</v>
      </c>
      <c r="F307">
        <v>5</v>
      </c>
      <c r="G307">
        <v>799</v>
      </c>
      <c r="H307">
        <v>0.15</v>
      </c>
      <c r="I307" t="s">
        <v>15</v>
      </c>
      <c r="J307" t="s">
        <v>58</v>
      </c>
      <c r="K307" t="s">
        <v>50</v>
      </c>
      <c r="L307">
        <v>599.25</v>
      </c>
      <c r="M307">
        <v>3995</v>
      </c>
      <c r="N307">
        <v>3395.75</v>
      </c>
      <c r="O307">
        <v>0</v>
      </c>
    </row>
    <row r="308" spans="1:15" x14ac:dyDescent="0.3">
      <c r="A308" t="s">
        <v>449</v>
      </c>
      <c r="B308" s="1">
        <v>46136</v>
      </c>
      <c r="C308" t="s">
        <v>74</v>
      </c>
      <c r="D308" t="s">
        <v>29</v>
      </c>
      <c r="E308" t="s">
        <v>30</v>
      </c>
      <c r="F308">
        <v>2</v>
      </c>
      <c r="G308">
        <v>349</v>
      </c>
      <c r="H308">
        <v>0</v>
      </c>
      <c r="I308" t="s">
        <v>40</v>
      </c>
      <c r="J308" t="s">
        <v>58</v>
      </c>
      <c r="K308" t="s">
        <v>24</v>
      </c>
      <c r="L308">
        <v>0</v>
      </c>
      <c r="M308">
        <v>698</v>
      </c>
      <c r="N308">
        <v>698</v>
      </c>
      <c r="O308">
        <v>0</v>
      </c>
    </row>
    <row r="309" spans="1:15" x14ac:dyDescent="0.3">
      <c r="A309" t="s">
        <v>450</v>
      </c>
      <c r="B309" s="1">
        <v>46136</v>
      </c>
      <c r="C309" t="s">
        <v>177</v>
      </c>
      <c r="D309" t="s">
        <v>34</v>
      </c>
      <c r="E309" t="s">
        <v>35</v>
      </c>
      <c r="F309">
        <v>2</v>
      </c>
      <c r="G309">
        <v>6499</v>
      </c>
      <c r="H309">
        <v>0.05</v>
      </c>
      <c r="I309" t="s">
        <v>40</v>
      </c>
      <c r="J309" t="s">
        <v>47</v>
      </c>
      <c r="K309" t="s">
        <v>24</v>
      </c>
      <c r="L309">
        <v>649.90000000000146</v>
      </c>
      <c r="M309">
        <v>12998</v>
      </c>
      <c r="N309">
        <v>12348.099999999999</v>
      </c>
      <c r="O309">
        <v>0</v>
      </c>
    </row>
    <row r="310" spans="1:15" x14ac:dyDescent="0.3">
      <c r="A310" t="s">
        <v>451</v>
      </c>
      <c r="B310" s="1">
        <v>46136</v>
      </c>
      <c r="C310" t="s">
        <v>12</v>
      </c>
      <c r="D310" t="s">
        <v>29</v>
      </c>
      <c r="E310" t="s">
        <v>30</v>
      </c>
      <c r="F310">
        <v>2</v>
      </c>
      <c r="G310">
        <v>349</v>
      </c>
      <c r="H310">
        <v>0.15</v>
      </c>
      <c r="I310" t="s">
        <v>36</v>
      </c>
      <c r="J310" t="s">
        <v>47</v>
      </c>
      <c r="K310" t="s">
        <v>17</v>
      </c>
      <c r="L310">
        <v>104.70000000000005</v>
      </c>
      <c r="M310">
        <v>698</v>
      </c>
      <c r="N310">
        <v>593.29999999999995</v>
      </c>
      <c r="O310">
        <v>593.29999999999995</v>
      </c>
    </row>
    <row r="311" spans="1:15" x14ac:dyDescent="0.3">
      <c r="A311" t="s">
        <v>452</v>
      </c>
      <c r="B311" s="1">
        <v>46136</v>
      </c>
      <c r="C311" t="s">
        <v>95</v>
      </c>
      <c r="D311" t="s">
        <v>29</v>
      </c>
      <c r="E311" t="s">
        <v>122</v>
      </c>
      <c r="F311">
        <v>1</v>
      </c>
      <c r="G311">
        <v>249</v>
      </c>
      <c r="H311">
        <v>0.1</v>
      </c>
      <c r="I311" t="s">
        <v>36</v>
      </c>
      <c r="J311" t="s">
        <v>47</v>
      </c>
      <c r="K311" t="s">
        <v>50</v>
      </c>
      <c r="L311">
        <v>24.900000000000006</v>
      </c>
      <c r="M311">
        <v>249</v>
      </c>
      <c r="N311">
        <v>224.1</v>
      </c>
      <c r="O311">
        <v>0</v>
      </c>
    </row>
    <row r="312" spans="1:15" x14ac:dyDescent="0.3">
      <c r="A312" t="s">
        <v>453</v>
      </c>
      <c r="B312" s="1">
        <v>46136</v>
      </c>
      <c r="C312" t="s">
        <v>132</v>
      </c>
      <c r="D312" t="s">
        <v>29</v>
      </c>
      <c r="E312" t="s">
        <v>46</v>
      </c>
      <c r="F312">
        <v>1</v>
      </c>
      <c r="G312">
        <v>199</v>
      </c>
      <c r="H312">
        <v>0.15</v>
      </c>
      <c r="I312" t="s">
        <v>40</v>
      </c>
      <c r="J312" t="s">
        <v>58</v>
      </c>
      <c r="K312" t="s">
        <v>17</v>
      </c>
      <c r="L312">
        <v>29.849999999999994</v>
      </c>
      <c r="M312">
        <v>199</v>
      </c>
      <c r="N312">
        <v>169.15</v>
      </c>
      <c r="O312">
        <v>169.15</v>
      </c>
    </row>
    <row r="313" spans="1:15" x14ac:dyDescent="0.3">
      <c r="A313" t="s">
        <v>454</v>
      </c>
      <c r="B313" s="1">
        <v>46137</v>
      </c>
      <c r="C313" t="s">
        <v>132</v>
      </c>
      <c r="D313" t="s">
        <v>29</v>
      </c>
      <c r="E313" t="s">
        <v>85</v>
      </c>
      <c r="F313">
        <v>2</v>
      </c>
      <c r="G313">
        <v>299</v>
      </c>
      <c r="H313">
        <v>0</v>
      </c>
      <c r="I313" t="s">
        <v>36</v>
      </c>
      <c r="J313" t="s">
        <v>16</v>
      </c>
      <c r="K313" t="s">
        <v>17</v>
      </c>
      <c r="L313">
        <v>0</v>
      </c>
      <c r="M313">
        <v>598</v>
      </c>
      <c r="N313">
        <v>598</v>
      </c>
      <c r="O313">
        <v>598</v>
      </c>
    </row>
    <row r="314" spans="1:15" x14ac:dyDescent="0.3">
      <c r="A314" t="s">
        <v>455</v>
      </c>
      <c r="B314" s="1">
        <v>46137</v>
      </c>
      <c r="C314" t="s">
        <v>339</v>
      </c>
      <c r="D314" t="s">
        <v>29</v>
      </c>
      <c r="E314" t="s">
        <v>77</v>
      </c>
      <c r="F314">
        <v>1</v>
      </c>
      <c r="G314">
        <v>399</v>
      </c>
      <c r="H314">
        <v>0.2</v>
      </c>
      <c r="I314" t="s">
        <v>15</v>
      </c>
      <c r="J314" t="s">
        <v>47</v>
      </c>
      <c r="K314" t="s">
        <v>17</v>
      </c>
      <c r="L314">
        <v>79.799999999999955</v>
      </c>
      <c r="M314">
        <v>399</v>
      </c>
      <c r="N314">
        <v>319.20000000000005</v>
      </c>
      <c r="O314">
        <v>319.20000000000005</v>
      </c>
    </row>
    <row r="315" spans="1:15" x14ac:dyDescent="0.3">
      <c r="A315" t="s">
        <v>456</v>
      </c>
      <c r="B315" s="1">
        <v>46137</v>
      </c>
      <c r="C315" t="s">
        <v>205</v>
      </c>
      <c r="D315" t="s">
        <v>13</v>
      </c>
      <c r="E315" t="s">
        <v>93</v>
      </c>
      <c r="F315">
        <v>2</v>
      </c>
      <c r="G315">
        <v>1499</v>
      </c>
      <c r="H315">
        <v>0.2</v>
      </c>
      <c r="I315" t="s">
        <v>36</v>
      </c>
      <c r="J315" t="s">
        <v>16</v>
      </c>
      <c r="K315" t="s">
        <v>17</v>
      </c>
      <c r="L315">
        <v>599.59999999999991</v>
      </c>
      <c r="M315">
        <v>2998</v>
      </c>
      <c r="N315">
        <v>2398.4</v>
      </c>
      <c r="O315">
        <v>2398.4</v>
      </c>
    </row>
    <row r="316" spans="1:15" x14ac:dyDescent="0.3">
      <c r="A316" t="s">
        <v>457</v>
      </c>
      <c r="B316" s="1">
        <v>46137</v>
      </c>
      <c r="C316" t="s">
        <v>189</v>
      </c>
      <c r="D316" t="s">
        <v>20</v>
      </c>
      <c r="E316" t="s">
        <v>21</v>
      </c>
      <c r="F316">
        <v>2</v>
      </c>
      <c r="G316">
        <v>1299</v>
      </c>
      <c r="H316">
        <v>0.2</v>
      </c>
      <c r="I316" t="s">
        <v>15</v>
      </c>
      <c r="J316" t="s">
        <v>47</v>
      </c>
      <c r="K316" t="s">
        <v>17</v>
      </c>
      <c r="L316">
        <v>519.59999999999991</v>
      </c>
      <c r="M316">
        <v>2598</v>
      </c>
      <c r="N316">
        <v>2078.4</v>
      </c>
      <c r="O316">
        <v>2078.4</v>
      </c>
    </row>
    <row r="317" spans="1:15" x14ac:dyDescent="0.3">
      <c r="A317" t="s">
        <v>458</v>
      </c>
      <c r="B317" s="1">
        <v>46138</v>
      </c>
      <c r="C317" t="s">
        <v>159</v>
      </c>
      <c r="D317" t="s">
        <v>34</v>
      </c>
      <c r="E317" t="s">
        <v>108</v>
      </c>
      <c r="F317">
        <v>3</v>
      </c>
      <c r="G317">
        <v>1599</v>
      </c>
      <c r="H317">
        <v>0.15</v>
      </c>
      <c r="I317" t="s">
        <v>22</v>
      </c>
      <c r="J317" t="s">
        <v>16</v>
      </c>
      <c r="K317" t="s">
        <v>24</v>
      </c>
      <c r="L317">
        <v>719.55000000000018</v>
      </c>
      <c r="M317">
        <v>4797</v>
      </c>
      <c r="N317">
        <v>4077.45</v>
      </c>
      <c r="O317">
        <v>0</v>
      </c>
    </row>
    <row r="318" spans="1:15" x14ac:dyDescent="0.3">
      <c r="A318" t="s">
        <v>459</v>
      </c>
      <c r="B318" s="1">
        <v>46138</v>
      </c>
      <c r="C318" t="s">
        <v>349</v>
      </c>
      <c r="D318" t="s">
        <v>13</v>
      </c>
      <c r="E318" t="s">
        <v>231</v>
      </c>
      <c r="F318">
        <v>2</v>
      </c>
      <c r="G318">
        <v>699</v>
      </c>
      <c r="H318">
        <v>0</v>
      </c>
      <c r="I318" t="s">
        <v>15</v>
      </c>
      <c r="J318" t="s">
        <v>47</v>
      </c>
      <c r="K318" t="s">
        <v>50</v>
      </c>
      <c r="L318">
        <v>0</v>
      </c>
      <c r="M318">
        <v>1398</v>
      </c>
      <c r="N318">
        <v>1398</v>
      </c>
      <c r="O318">
        <v>0</v>
      </c>
    </row>
    <row r="319" spans="1:15" x14ac:dyDescent="0.3">
      <c r="A319" t="s">
        <v>460</v>
      </c>
      <c r="B319" s="1">
        <v>46138</v>
      </c>
      <c r="C319" t="s">
        <v>19</v>
      </c>
      <c r="D319" t="s">
        <v>20</v>
      </c>
      <c r="E319" t="s">
        <v>72</v>
      </c>
      <c r="F319">
        <v>1</v>
      </c>
      <c r="G319">
        <v>1799</v>
      </c>
      <c r="H319">
        <v>0.1</v>
      </c>
      <c r="I319" t="s">
        <v>22</v>
      </c>
      <c r="J319" t="s">
        <v>31</v>
      </c>
      <c r="K319" t="s">
        <v>17</v>
      </c>
      <c r="L319">
        <v>179.89999999999986</v>
      </c>
      <c r="M319">
        <v>1799</v>
      </c>
      <c r="N319">
        <v>1619.1000000000001</v>
      </c>
      <c r="O319">
        <v>1619.1000000000001</v>
      </c>
    </row>
    <row r="320" spans="1:15" x14ac:dyDescent="0.3">
      <c r="A320" t="s">
        <v>461</v>
      </c>
      <c r="B320" s="1">
        <v>46139</v>
      </c>
      <c r="C320" t="s">
        <v>152</v>
      </c>
      <c r="D320" t="s">
        <v>29</v>
      </c>
      <c r="E320" t="s">
        <v>46</v>
      </c>
      <c r="F320">
        <v>3</v>
      </c>
      <c r="G320">
        <v>199</v>
      </c>
      <c r="H320">
        <v>0.15</v>
      </c>
      <c r="I320" t="s">
        <v>22</v>
      </c>
      <c r="J320" t="s">
        <v>31</v>
      </c>
      <c r="K320" t="s">
        <v>17</v>
      </c>
      <c r="L320">
        <v>89.550000000000011</v>
      </c>
      <c r="M320">
        <v>597</v>
      </c>
      <c r="N320">
        <v>507.45</v>
      </c>
      <c r="O320">
        <v>507.45</v>
      </c>
    </row>
    <row r="321" spans="1:15" x14ac:dyDescent="0.3">
      <c r="A321" t="s">
        <v>462</v>
      </c>
      <c r="B321" s="1">
        <v>46139</v>
      </c>
      <c r="C321" t="s">
        <v>300</v>
      </c>
      <c r="D321" t="s">
        <v>34</v>
      </c>
      <c r="E321" t="s">
        <v>108</v>
      </c>
      <c r="F321">
        <v>1</v>
      </c>
      <c r="G321">
        <v>1599</v>
      </c>
      <c r="H321">
        <v>0</v>
      </c>
      <c r="I321" t="s">
        <v>15</v>
      </c>
      <c r="J321" t="s">
        <v>47</v>
      </c>
      <c r="K321" t="s">
        <v>17</v>
      </c>
      <c r="L321">
        <v>0</v>
      </c>
      <c r="M321">
        <v>1599</v>
      </c>
      <c r="N321">
        <v>1599</v>
      </c>
      <c r="O321">
        <v>1599</v>
      </c>
    </row>
    <row r="322" spans="1:15" x14ac:dyDescent="0.3">
      <c r="A322" t="s">
        <v>463</v>
      </c>
      <c r="B322" s="1">
        <v>46139</v>
      </c>
      <c r="C322" t="s">
        <v>68</v>
      </c>
      <c r="D322" t="s">
        <v>20</v>
      </c>
      <c r="E322" t="s">
        <v>21</v>
      </c>
      <c r="F322">
        <v>2</v>
      </c>
      <c r="G322">
        <v>1299</v>
      </c>
      <c r="H322">
        <v>0.2</v>
      </c>
      <c r="I322" t="s">
        <v>36</v>
      </c>
      <c r="J322" t="s">
        <v>31</v>
      </c>
      <c r="K322" t="s">
        <v>17</v>
      </c>
      <c r="L322">
        <v>519.59999999999991</v>
      </c>
      <c r="M322">
        <v>2598</v>
      </c>
      <c r="N322">
        <v>2078.4</v>
      </c>
      <c r="O322">
        <v>2078.4</v>
      </c>
    </row>
    <row r="323" spans="1:15" x14ac:dyDescent="0.3">
      <c r="A323" t="s">
        <v>464</v>
      </c>
      <c r="B323" s="1">
        <v>46140</v>
      </c>
      <c r="C323" t="s">
        <v>87</v>
      </c>
      <c r="D323" t="s">
        <v>13</v>
      </c>
      <c r="E323" t="s">
        <v>231</v>
      </c>
      <c r="F323">
        <v>2</v>
      </c>
      <c r="G323">
        <v>699</v>
      </c>
      <c r="H323">
        <v>0.15</v>
      </c>
      <c r="I323" t="s">
        <v>40</v>
      </c>
      <c r="J323" t="s">
        <v>31</v>
      </c>
      <c r="K323" t="s">
        <v>17</v>
      </c>
      <c r="L323">
        <v>209.70000000000005</v>
      </c>
      <c r="M323">
        <v>1398</v>
      </c>
      <c r="N323">
        <v>1188.3</v>
      </c>
      <c r="O323">
        <v>1188.3</v>
      </c>
    </row>
    <row r="324" spans="1:15" x14ac:dyDescent="0.3">
      <c r="A324" t="s">
        <v>465</v>
      </c>
      <c r="B324" s="1">
        <v>46141</v>
      </c>
      <c r="C324" t="s">
        <v>130</v>
      </c>
      <c r="D324" t="s">
        <v>13</v>
      </c>
      <c r="E324" t="s">
        <v>125</v>
      </c>
      <c r="F324">
        <v>5</v>
      </c>
      <c r="G324">
        <v>1199</v>
      </c>
      <c r="H324">
        <v>0.2</v>
      </c>
      <c r="I324" t="s">
        <v>22</v>
      </c>
      <c r="J324" t="s">
        <v>31</v>
      </c>
      <c r="K324" t="s">
        <v>24</v>
      </c>
      <c r="L324">
        <v>1199</v>
      </c>
      <c r="M324">
        <v>5995</v>
      </c>
      <c r="N324">
        <v>4796</v>
      </c>
      <c r="O324">
        <v>0</v>
      </c>
    </row>
    <row r="325" spans="1:15" x14ac:dyDescent="0.3">
      <c r="A325" t="s">
        <v>466</v>
      </c>
      <c r="B325" s="1">
        <v>46141</v>
      </c>
      <c r="C325" t="s">
        <v>217</v>
      </c>
      <c r="D325" t="s">
        <v>34</v>
      </c>
      <c r="E325" t="s">
        <v>108</v>
      </c>
      <c r="F325">
        <v>2</v>
      </c>
      <c r="G325">
        <v>1599</v>
      </c>
      <c r="H325">
        <v>0</v>
      </c>
      <c r="I325" t="s">
        <v>15</v>
      </c>
      <c r="J325" t="s">
        <v>23</v>
      </c>
      <c r="K325" t="s">
        <v>17</v>
      </c>
      <c r="L325">
        <v>0</v>
      </c>
      <c r="M325">
        <v>3198</v>
      </c>
      <c r="N325">
        <v>3198</v>
      </c>
      <c r="O325">
        <v>3198</v>
      </c>
    </row>
    <row r="326" spans="1:15" x14ac:dyDescent="0.3">
      <c r="A326" t="s">
        <v>467</v>
      </c>
      <c r="B326" s="1">
        <v>46141</v>
      </c>
      <c r="C326" t="s">
        <v>177</v>
      </c>
      <c r="D326" t="s">
        <v>13</v>
      </c>
      <c r="E326" t="s">
        <v>14</v>
      </c>
      <c r="F326">
        <v>1</v>
      </c>
      <c r="G326">
        <v>499</v>
      </c>
      <c r="H326">
        <v>0.15</v>
      </c>
      <c r="I326" t="s">
        <v>15</v>
      </c>
      <c r="J326" t="s">
        <v>58</v>
      </c>
      <c r="K326" t="s">
        <v>17</v>
      </c>
      <c r="L326">
        <v>74.850000000000023</v>
      </c>
      <c r="M326">
        <v>499</v>
      </c>
      <c r="N326">
        <v>424.15</v>
      </c>
      <c r="O326">
        <v>424.15</v>
      </c>
    </row>
    <row r="327" spans="1:15" x14ac:dyDescent="0.3">
      <c r="A327" t="s">
        <v>468</v>
      </c>
      <c r="B327" s="1">
        <v>46141</v>
      </c>
      <c r="C327" t="s">
        <v>164</v>
      </c>
      <c r="D327" t="s">
        <v>34</v>
      </c>
      <c r="E327" t="s">
        <v>35</v>
      </c>
      <c r="F327">
        <v>1</v>
      </c>
      <c r="G327">
        <v>6499</v>
      </c>
      <c r="H327">
        <v>0.1</v>
      </c>
      <c r="I327" t="s">
        <v>40</v>
      </c>
      <c r="J327" t="s">
        <v>31</v>
      </c>
      <c r="K327" t="s">
        <v>50</v>
      </c>
      <c r="L327">
        <v>649.89999999999964</v>
      </c>
      <c r="M327">
        <v>6499</v>
      </c>
      <c r="N327">
        <v>5849.1</v>
      </c>
      <c r="O327">
        <v>0</v>
      </c>
    </row>
    <row r="328" spans="1:15" x14ac:dyDescent="0.3">
      <c r="A328" t="s">
        <v>469</v>
      </c>
      <c r="B328" s="1">
        <v>46141</v>
      </c>
      <c r="C328" t="s">
        <v>68</v>
      </c>
      <c r="D328" t="s">
        <v>13</v>
      </c>
      <c r="E328" t="s">
        <v>69</v>
      </c>
      <c r="F328">
        <v>5</v>
      </c>
      <c r="G328">
        <v>299</v>
      </c>
      <c r="H328">
        <v>0.05</v>
      </c>
      <c r="I328" t="s">
        <v>15</v>
      </c>
      <c r="J328" t="s">
        <v>58</v>
      </c>
      <c r="K328" t="s">
        <v>17</v>
      </c>
      <c r="L328">
        <v>74.75</v>
      </c>
      <c r="M328">
        <v>1495</v>
      </c>
      <c r="N328">
        <v>1420.25</v>
      </c>
      <c r="O328">
        <v>1420.25</v>
      </c>
    </row>
    <row r="329" spans="1:15" x14ac:dyDescent="0.3">
      <c r="A329" t="s">
        <v>470</v>
      </c>
      <c r="B329" s="1">
        <v>46141</v>
      </c>
      <c r="C329" t="s">
        <v>168</v>
      </c>
      <c r="D329" t="s">
        <v>34</v>
      </c>
      <c r="E329" t="s">
        <v>53</v>
      </c>
      <c r="F329">
        <v>4</v>
      </c>
      <c r="G329">
        <v>899</v>
      </c>
      <c r="H329">
        <v>0.15</v>
      </c>
      <c r="I329" t="s">
        <v>36</v>
      </c>
      <c r="J329" t="s">
        <v>31</v>
      </c>
      <c r="K329" t="s">
        <v>17</v>
      </c>
      <c r="L329">
        <v>539.40000000000009</v>
      </c>
      <c r="M329">
        <v>3596</v>
      </c>
      <c r="N329">
        <v>3056.6</v>
      </c>
      <c r="O329">
        <v>3056.6</v>
      </c>
    </row>
    <row r="330" spans="1:15" x14ac:dyDescent="0.3">
      <c r="A330" t="s">
        <v>471</v>
      </c>
      <c r="B330" s="1">
        <v>46142</v>
      </c>
      <c r="C330" t="s">
        <v>235</v>
      </c>
      <c r="D330" t="s">
        <v>20</v>
      </c>
      <c r="E330" t="s">
        <v>21</v>
      </c>
      <c r="F330">
        <v>2</v>
      </c>
      <c r="G330">
        <v>1299</v>
      </c>
      <c r="H330">
        <v>0</v>
      </c>
      <c r="I330" t="s">
        <v>40</v>
      </c>
      <c r="J330" t="s">
        <v>31</v>
      </c>
      <c r="K330" t="s">
        <v>50</v>
      </c>
      <c r="L330">
        <v>0</v>
      </c>
      <c r="M330">
        <v>2598</v>
      </c>
      <c r="N330">
        <v>2598</v>
      </c>
      <c r="O330">
        <v>0</v>
      </c>
    </row>
    <row r="331" spans="1:15" x14ac:dyDescent="0.3">
      <c r="A331" t="s">
        <v>472</v>
      </c>
      <c r="B331" s="1">
        <v>46142</v>
      </c>
      <c r="C331" t="s">
        <v>349</v>
      </c>
      <c r="D331" t="s">
        <v>34</v>
      </c>
      <c r="E331" t="s">
        <v>108</v>
      </c>
      <c r="F331">
        <v>2</v>
      </c>
      <c r="G331">
        <v>1599</v>
      </c>
      <c r="H331">
        <v>0.1</v>
      </c>
      <c r="I331" t="s">
        <v>36</v>
      </c>
      <c r="J331" t="s">
        <v>31</v>
      </c>
      <c r="K331" t="s">
        <v>17</v>
      </c>
      <c r="L331">
        <v>319.79999999999973</v>
      </c>
      <c r="M331">
        <v>3198</v>
      </c>
      <c r="N331">
        <v>2878.2000000000003</v>
      </c>
      <c r="O331">
        <v>2878.2000000000003</v>
      </c>
    </row>
    <row r="332" spans="1:15" x14ac:dyDescent="0.3">
      <c r="A332" t="s">
        <v>473</v>
      </c>
      <c r="B332" s="1">
        <v>46142</v>
      </c>
      <c r="C332" t="s">
        <v>19</v>
      </c>
      <c r="D332" t="s">
        <v>20</v>
      </c>
      <c r="E332" t="s">
        <v>82</v>
      </c>
      <c r="F332">
        <v>3</v>
      </c>
      <c r="G332">
        <v>2299</v>
      </c>
      <c r="H332">
        <v>0.05</v>
      </c>
      <c r="I332" t="s">
        <v>36</v>
      </c>
      <c r="J332" t="s">
        <v>16</v>
      </c>
      <c r="K332" t="s">
        <v>17</v>
      </c>
      <c r="L332">
        <v>344.85000000000036</v>
      </c>
      <c r="M332">
        <v>6897</v>
      </c>
      <c r="N332">
        <v>6552.15</v>
      </c>
      <c r="O332">
        <v>6552.15</v>
      </c>
    </row>
    <row r="333" spans="1:15" x14ac:dyDescent="0.3">
      <c r="A333" t="s">
        <v>474</v>
      </c>
      <c r="B333" s="1">
        <v>46142</v>
      </c>
      <c r="C333" t="s">
        <v>33</v>
      </c>
      <c r="D333" t="s">
        <v>34</v>
      </c>
      <c r="E333" t="s">
        <v>63</v>
      </c>
      <c r="F333">
        <v>3</v>
      </c>
      <c r="G333">
        <v>599</v>
      </c>
      <c r="H333">
        <v>0.2</v>
      </c>
      <c r="I333" t="s">
        <v>40</v>
      </c>
      <c r="J333" t="s">
        <v>58</v>
      </c>
      <c r="K333" t="s">
        <v>50</v>
      </c>
      <c r="L333">
        <v>359.39999999999986</v>
      </c>
      <c r="M333">
        <v>1797</v>
      </c>
      <c r="N333">
        <v>1437.6000000000001</v>
      </c>
      <c r="O333">
        <v>0</v>
      </c>
    </row>
    <row r="334" spans="1:15" x14ac:dyDescent="0.3">
      <c r="A334" t="s">
        <v>475</v>
      </c>
      <c r="B334" s="1">
        <v>46143</v>
      </c>
      <c r="C334" t="s">
        <v>33</v>
      </c>
      <c r="D334" t="s">
        <v>29</v>
      </c>
      <c r="E334" t="s">
        <v>46</v>
      </c>
      <c r="F334">
        <v>2</v>
      </c>
      <c r="G334">
        <v>199</v>
      </c>
      <c r="H334">
        <v>0.15</v>
      </c>
      <c r="I334" t="s">
        <v>40</v>
      </c>
      <c r="J334" t="s">
        <v>47</v>
      </c>
      <c r="K334" t="s">
        <v>50</v>
      </c>
      <c r="L334">
        <v>59.699999999999989</v>
      </c>
      <c r="M334">
        <v>398</v>
      </c>
      <c r="N334">
        <v>338.3</v>
      </c>
      <c r="O334">
        <v>0</v>
      </c>
    </row>
    <row r="335" spans="1:15" x14ac:dyDescent="0.3">
      <c r="A335" t="s">
        <v>476</v>
      </c>
      <c r="B335" s="1">
        <v>46143</v>
      </c>
      <c r="C335" t="s">
        <v>402</v>
      </c>
      <c r="D335" t="s">
        <v>20</v>
      </c>
      <c r="E335" t="s">
        <v>21</v>
      </c>
      <c r="F335">
        <v>2</v>
      </c>
      <c r="G335">
        <v>1299</v>
      </c>
      <c r="H335">
        <v>0.2</v>
      </c>
      <c r="I335" t="s">
        <v>15</v>
      </c>
      <c r="J335" t="s">
        <v>16</v>
      </c>
      <c r="K335" t="s">
        <v>17</v>
      </c>
      <c r="L335">
        <v>519.59999999999991</v>
      </c>
      <c r="M335">
        <v>2598</v>
      </c>
      <c r="N335">
        <v>2078.4</v>
      </c>
      <c r="O335">
        <v>2078.4</v>
      </c>
    </row>
    <row r="336" spans="1:15" x14ac:dyDescent="0.3">
      <c r="A336" t="s">
        <v>477</v>
      </c>
      <c r="B336" s="1">
        <v>46143</v>
      </c>
      <c r="C336" t="s">
        <v>296</v>
      </c>
      <c r="D336" t="s">
        <v>20</v>
      </c>
      <c r="E336" t="s">
        <v>82</v>
      </c>
      <c r="F336">
        <v>1</v>
      </c>
      <c r="G336">
        <v>2299</v>
      </c>
      <c r="H336">
        <v>0.2</v>
      </c>
      <c r="I336" t="s">
        <v>15</v>
      </c>
      <c r="J336" t="s">
        <v>31</v>
      </c>
      <c r="K336" t="s">
        <v>50</v>
      </c>
      <c r="L336">
        <v>459.79999999999995</v>
      </c>
      <c r="M336">
        <v>2299</v>
      </c>
      <c r="N336">
        <v>1839.2</v>
      </c>
      <c r="O336">
        <v>0</v>
      </c>
    </row>
    <row r="337" spans="1:15" x14ac:dyDescent="0.3">
      <c r="A337" t="s">
        <v>478</v>
      </c>
      <c r="B337" s="1">
        <v>46143</v>
      </c>
      <c r="C337" t="s">
        <v>479</v>
      </c>
      <c r="D337" t="s">
        <v>29</v>
      </c>
      <c r="E337" t="s">
        <v>46</v>
      </c>
      <c r="F337">
        <v>4</v>
      </c>
      <c r="G337">
        <v>199</v>
      </c>
      <c r="H337">
        <v>0.1</v>
      </c>
      <c r="I337" t="s">
        <v>22</v>
      </c>
      <c r="J337" t="s">
        <v>31</v>
      </c>
      <c r="K337" t="s">
        <v>17</v>
      </c>
      <c r="L337">
        <v>79.600000000000023</v>
      </c>
      <c r="M337">
        <v>796</v>
      </c>
      <c r="N337">
        <v>716.4</v>
      </c>
      <c r="O337">
        <v>716.4</v>
      </c>
    </row>
    <row r="338" spans="1:15" x14ac:dyDescent="0.3">
      <c r="A338" t="s">
        <v>480</v>
      </c>
      <c r="B338" s="1">
        <v>46144</v>
      </c>
      <c r="C338" t="s">
        <v>74</v>
      </c>
      <c r="D338" t="s">
        <v>34</v>
      </c>
      <c r="E338" t="s">
        <v>53</v>
      </c>
      <c r="F338">
        <v>1</v>
      </c>
      <c r="G338">
        <v>899</v>
      </c>
      <c r="H338">
        <v>0.2</v>
      </c>
      <c r="I338" t="s">
        <v>36</v>
      </c>
      <c r="J338" t="s">
        <v>58</v>
      </c>
      <c r="K338" t="s">
        <v>24</v>
      </c>
      <c r="L338">
        <v>179.79999999999995</v>
      </c>
      <c r="M338">
        <v>899</v>
      </c>
      <c r="N338">
        <v>719.2</v>
      </c>
      <c r="O338">
        <v>0</v>
      </c>
    </row>
    <row r="339" spans="1:15" x14ac:dyDescent="0.3">
      <c r="A339" t="s">
        <v>481</v>
      </c>
      <c r="B339" s="1">
        <v>46144</v>
      </c>
      <c r="C339" t="s">
        <v>44</v>
      </c>
      <c r="D339" t="s">
        <v>20</v>
      </c>
      <c r="E339" t="s">
        <v>82</v>
      </c>
      <c r="F339">
        <v>4</v>
      </c>
      <c r="G339">
        <v>2299</v>
      </c>
      <c r="H339">
        <v>0.15</v>
      </c>
      <c r="I339" t="s">
        <v>40</v>
      </c>
      <c r="J339" t="s">
        <v>47</v>
      </c>
      <c r="K339" t="s">
        <v>50</v>
      </c>
      <c r="L339">
        <v>1379.4000000000005</v>
      </c>
      <c r="M339">
        <v>9196</v>
      </c>
      <c r="N339">
        <v>7816.5999999999995</v>
      </c>
      <c r="O339">
        <v>0</v>
      </c>
    </row>
    <row r="340" spans="1:15" x14ac:dyDescent="0.3">
      <c r="A340" t="s">
        <v>482</v>
      </c>
      <c r="B340" s="1">
        <v>46144</v>
      </c>
      <c r="C340" t="s">
        <v>150</v>
      </c>
      <c r="D340" t="s">
        <v>29</v>
      </c>
      <c r="E340" t="s">
        <v>85</v>
      </c>
      <c r="F340">
        <v>1</v>
      </c>
      <c r="G340">
        <v>299</v>
      </c>
      <c r="H340">
        <v>0</v>
      </c>
      <c r="I340" t="s">
        <v>36</v>
      </c>
      <c r="J340" t="s">
        <v>16</v>
      </c>
      <c r="K340" t="s">
        <v>17</v>
      </c>
      <c r="L340">
        <v>0</v>
      </c>
      <c r="M340">
        <v>299</v>
      </c>
      <c r="N340">
        <v>299</v>
      </c>
      <c r="O340">
        <v>299</v>
      </c>
    </row>
    <row r="341" spans="1:15" x14ac:dyDescent="0.3">
      <c r="A341" t="s">
        <v>483</v>
      </c>
      <c r="B341" s="1">
        <v>46144</v>
      </c>
      <c r="C341" t="s">
        <v>173</v>
      </c>
      <c r="D341" t="s">
        <v>34</v>
      </c>
      <c r="E341" t="s">
        <v>35</v>
      </c>
      <c r="F341">
        <v>3</v>
      </c>
      <c r="G341">
        <v>6499</v>
      </c>
      <c r="H341">
        <v>0.1</v>
      </c>
      <c r="I341" t="s">
        <v>22</v>
      </c>
      <c r="J341" t="s">
        <v>47</v>
      </c>
      <c r="K341" t="s">
        <v>50</v>
      </c>
      <c r="L341">
        <v>1949.7000000000007</v>
      </c>
      <c r="M341">
        <v>19497</v>
      </c>
      <c r="N341">
        <v>17547.3</v>
      </c>
      <c r="O341">
        <v>0</v>
      </c>
    </row>
    <row r="342" spans="1:15" x14ac:dyDescent="0.3">
      <c r="A342" t="s">
        <v>484</v>
      </c>
      <c r="B342" s="1">
        <v>46144</v>
      </c>
      <c r="C342" t="s">
        <v>293</v>
      </c>
      <c r="D342" t="s">
        <v>20</v>
      </c>
      <c r="E342" t="s">
        <v>72</v>
      </c>
      <c r="F342">
        <v>1</v>
      </c>
      <c r="G342">
        <v>1799</v>
      </c>
      <c r="H342">
        <v>0</v>
      </c>
      <c r="I342" t="s">
        <v>15</v>
      </c>
      <c r="J342" t="s">
        <v>23</v>
      </c>
      <c r="K342" t="s">
        <v>17</v>
      </c>
      <c r="L342">
        <v>0</v>
      </c>
      <c r="M342">
        <v>1799</v>
      </c>
      <c r="N342">
        <v>1799</v>
      </c>
      <c r="O342">
        <v>1799</v>
      </c>
    </row>
    <row r="343" spans="1:15" x14ac:dyDescent="0.3">
      <c r="A343" t="s">
        <v>485</v>
      </c>
      <c r="B343" s="1">
        <v>46144</v>
      </c>
      <c r="C343" t="s">
        <v>300</v>
      </c>
      <c r="D343" t="s">
        <v>29</v>
      </c>
      <c r="E343" t="s">
        <v>85</v>
      </c>
      <c r="F343">
        <v>1</v>
      </c>
      <c r="G343">
        <v>299</v>
      </c>
      <c r="H343">
        <v>0.1</v>
      </c>
      <c r="I343" t="s">
        <v>22</v>
      </c>
      <c r="J343" t="s">
        <v>47</v>
      </c>
      <c r="K343" t="s">
        <v>17</v>
      </c>
      <c r="L343">
        <v>29.899999999999977</v>
      </c>
      <c r="M343">
        <v>299</v>
      </c>
      <c r="N343">
        <v>269.10000000000002</v>
      </c>
      <c r="O343">
        <v>269.10000000000002</v>
      </c>
    </row>
    <row r="344" spans="1:15" x14ac:dyDescent="0.3">
      <c r="A344" t="s">
        <v>486</v>
      </c>
      <c r="B344" s="1">
        <v>46145</v>
      </c>
      <c r="C344" t="s">
        <v>107</v>
      </c>
      <c r="D344" t="s">
        <v>13</v>
      </c>
      <c r="E344" t="s">
        <v>125</v>
      </c>
      <c r="F344">
        <v>2</v>
      </c>
      <c r="G344">
        <v>1199</v>
      </c>
      <c r="H344">
        <v>0.2</v>
      </c>
      <c r="I344" t="s">
        <v>36</v>
      </c>
      <c r="J344" t="s">
        <v>58</v>
      </c>
      <c r="K344" t="s">
        <v>50</v>
      </c>
      <c r="L344">
        <v>479.59999999999991</v>
      </c>
      <c r="M344">
        <v>2398</v>
      </c>
      <c r="N344">
        <v>1918.4</v>
      </c>
      <c r="O344">
        <v>0</v>
      </c>
    </row>
    <row r="345" spans="1:15" x14ac:dyDescent="0.3">
      <c r="A345" t="s">
        <v>487</v>
      </c>
      <c r="B345" s="1">
        <v>46145</v>
      </c>
      <c r="C345" t="s">
        <v>152</v>
      </c>
      <c r="D345" t="s">
        <v>34</v>
      </c>
      <c r="E345" t="s">
        <v>63</v>
      </c>
      <c r="F345">
        <v>1</v>
      </c>
      <c r="G345">
        <v>599</v>
      </c>
      <c r="H345">
        <v>0.15</v>
      </c>
      <c r="I345" t="s">
        <v>15</v>
      </c>
      <c r="J345" t="s">
        <v>31</v>
      </c>
      <c r="K345" t="s">
        <v>17</v>
      </c>
      <c r="L345">
        <v>89.850000000000023</v>
      </c>
      <c r="M345">
        <v>599</v>
      </c>
      <c r="N345">
        <v>509.15</v>
      </c>
      <c r="O345">
        <v>509.15</v>
      </c>
    </row>
    <row r="346" spans="1:15" x14ac:dyDescent="0.3">
      <c r="A346" t="s">
        <v>488</v>
      </c>
      <c r="B346" s="1">
        <v>46146</v>
      </c>
      <c r="C346" t="s">
        <v>19</v>
      </c>
      <c r="D346" t="s">
        <v>29</v>
      </c>
      <c r="E346" t="s">
        <v>85</v>
      </c>
      <c r="F346">
        <v>1</v>
      </c>
      <c r="G346">
        <v>299</v>
      </c>
      <c r="H346">
        <v>0.05</v>
      </c>
      <c r="I346" t="s">
        <v>36</v>
      </c>
      <c r="J346" t="s">
        <v>16</v>
      </c>
      <c r="K346" t="s">
        <v>24</v>
      </c>
      <c r="L346">
        <v>14.949999999999989</v>
      </c>
      <c r="M346">
        <v>299</v>
      </c>
      <c r="N346">
        <v>284.05</v>
      </c>
      <c r="O346">
        <v>0</v>
      </c>
    </row>
    <row r="347" spans="1:15" x14ac:dyDescent="0.3">
      <c r="A347" t="s">
        <v>489</v>
      </c>
      <c r="B347" s="1">
        <v>46146</v>
      </c>
      <c r="C347" t="s">
        <v>164</v>
      </c>
      <c r="D347" t="s">
        <v>20</v>
      </c>
      <c r="E347" t="s">
        <v>66</v>
      </c>
      <c r="F347">
        <v>1</v>
      </c>
      <c r="G347">
        <v>799</v>
      </c>
      <c r="H347">
        <v>0.05</v>
      </c>
      <c r="I347" t="s">
        <v>36</v>
      </c>
      <c r="J347" t="s">
        <v>58</v>
      </c>
      <c r="K347" t="s">
        <v>17</v>
      </c>
      <c r="L347">
        <v>39.950000000000045</v>
      </c>
      <c r="M347">
        <v>799</v>
      </c>
      <c r="N347">
        <v>759.05</v>
      </c>
      <c r="O347">
        <v>759.05</v>
      </c>
    </row>
    <row r="348" spans="1:15" x14ac:dyDescent="0.3">
      <c r="A348" t="s">
        <v>490</v>
      </c>
      <c r="B348" s="1">
        <v>46147</v>
      </c>
      <c r="C348" t="s">
        <v>173</v>
      </c>
      <c r="D348" t="s">
        <v>34</v>
      </c>
      <c r="E348" t="s">
        <v>35</v>
      </c>
      <c r="F348">
        <v>3</v>
      </c>
      <c r="G348">
        <v>6499</v>
      </c>
      <c r="H348">
        <v>0</v>
      </c>
      <c r="I348" t="s">
        <v>15</v>
      </c>
      <c r="J348" t="s">
        <v>31</v>
      </c>
      <c r="K348" t="s">
        <v>17</v>
      </c>
      <c r="L348">
        <v>0</v>
      </c>
      <c r="M348">
        <v>19497</v>
      </c>
      <c r="N348">
        <v>19497</v>
      </c>
      <c r="O348">
        <v>19497</v>
      </c>
    </row>
    <row r="349" spans="1:15" x14ac:dyDescent="0.3">
      <c r="A349" t="s">
        <v>491</v>
      </c>
      <c r="B349" s="1">
        <v>46147</v>
      </c>
      <c r="C349" t="s">
        <v>182</v>
      </c>
      <c r="D349" t="s">
        <v>34</v>
      </c>
      <c r="E349" t="s">
        <v>35</v>
      </c>
      <c r="F349">
        <v>3</v>
      </c>
      <c r="G349">
        <v>6499</v>
      </c>
      <c r="H349">
        <v>0.2</v>
      </c>
      <c r="I349" t="s">
        <v>36</v>
      </c>
      <c r="J349" t="s">
        <v>31</v>
      </c>
      <c r="K349" t="s">
        <v>50</v>
      </c>
      <c r="L349">
        <v>3899.3999999999996</v>
      </c>
      <c r="M349">
        <v>19497</v>
      </c>
      <c r="N349">
        <v>15597.6</v>
      </c>
      <c r="O349">
        <v>0</v>
      </c>
    </row>
    <row r="350" spans="1:15" x14ac:dyDescent="0.3">
      <c r="A350" t="s">
        <v>492</v>
      </c>
      <c r="B350" s="1">
        <v>46148</v>
      </c>
      <c r="C350" t="s">
        <v>150</v>
      </c>
      <c r="D350" t="s">
        <v>20</v>
      </c>
      <c r="E350" t="s">
        <v>98</v>
      </c>
      <c r="F350">
        <v>4</v>
      </c>
      <c r="G350">
        <v>999</v>
      </c>
      <c r="H350">
        <v>0.1</v>
      </c>
      <c r="I350" t="s">
        <v>15</v>
      </c>
      <c r="J350" t="s">
        <v>23</v>
      </c>
      <c r="K350" t="s">
        <v>17</v>
      </c>
      <c r="L350">
        <v>399.59999999999991</v>
      </c>
      <c r="M350">
        <v>3996</v>
      </c>
      <c r="N350">
        <v>3596.4</v>
      </c>
      <c r="O350">
        <v>3596.4</v>
      </c>
    </row>
    <row r="351" spans="1:15" x14ac:dyDescent="0.3">
      <c r="A351" t="s">
        <v>493</v>
      </c>
      <c r="B351" s="1">
        <v>46148</v>
      </c>
      <c r="C351" t="s">
        <v>354</v>
      </c>
      <c r="D351" t="s">
        <v>29</v>
      </c>
      <c r="E351" t="s">
        <v>122</v>
      </c>
      <c r="F351">
        <v>2</v>
      </c>
      <c r="G351">
        <v>249</v>
      </c>
      <c r="H351">
        <v>0</v>
      </c>
      <c r="I351" t="s">
        <v>40</v>
      </c>
      <c r="J351" t="s">
        <v>58</v>
      </c>
      <c r="K351" t="s">
        <v>17</v>
      </c>
      <c r="L351">
        <v>0</v>
      </c>
      <c r="M351">
        <v>498</v>
      </c>
      <c r="N351">
        <v>498</v>
      </c>
      <c r="O351">
        <v>498</v>
      </c>
    </row>
    <row r="352" spans="1:15" x14ac:dyDescent="0.3">
      <c r="A352" t="s">
        <v>494</v>
      </c>
      <c r="B352" s="1">
        <v>46148</v>
      </c>
      <c r="C352" t="s">
        <v>205</v>
      </c>
      <c r="D352" t="s">
        <v>29</v>
      </c>
      <c r="E352" t="s">
        <v>122</v>
      </c>
      <c r="F352">
        <v>1</v>
      </c>
      <c r="G352">
        <v>249</v>
      </c>
      <c r="H352">
        <v>0.15</v>
      </c>
      <c r="I352" t="s">
        <v>22</v>
      </c>
      <c r="J352" t="s">
        <v>47</v>
      </c>
      <c r="K352" t="s">
        <v>17</v>
      </c>
      <c r="L352">
        <v>37.349999999999994</v>
      </c>
      <c r="M352">
        <v>249</v>
      </c>
      <c r="N352">
        <v>211.65</v>
      </c>
      <c r="O352">
        <v>211.65</v>
      </c>
    </row>
    <row r="353" spans="1:15" x14ac:dyDescent="0.3">
      <c r="A353" t="s">
        <v>495</v>
      </c>
      <c r="B353" s="1">
        <v>46149</v>
      </c>
      <c r="C353" t="s">
        <v>74</v>
      </c>
      <c r="D353" t="s">
        <v>13</v>
      </c>
      <c r="E353" t="s">
        <v>125</v>
      </c>
      <c r="F353">
        <v>1</v>
      </c>
      <c r="G353">
        <v>1199</v>
      </c>
      <c r="H353">
        <v>0</v>
      </c>
      <c r="I353" t="s">
        <v>22</v>
      </c>
      <c r="J353" t="s">
        <v>16</v>
      </c>
      <c r="K353" t="s">
        <v>17</v>
      </c>
      <c r="L353">
        <v>0</v>
      </c>
      <c r="M353">
        <v>1199</v>
      </c>
      <c r="N353">
        <v>1199</v>
      </c>
      <c r="O353">
        <v>1199</v>
      </c>
    </row>
    <row r="354" spans="1:15" x14ac:dyDescent="0.3">
      <c r="A354" t="s">
        <v>496</v>
      </c>
      <c r="B354" s="1">
        <v>46149</v>
      </c>
      <c r="C354" t="s">
        <v>392</v>
      </c>
      <c r="D354" t="s">
        <v>34</v>
      </c>
      <c r="E354" t="s">
        <v>108</v>
      </c>
      <c r="F354">
        <v>1</v>
      </c>
      <c r="G354">
        <v>1599</v>
      </c>
      <c r="H354">
        <v>0</v>
      </c>
      <c r="I354" t="s">
        <v>40</v>
      </c>
      <c r="J354" t="s">
        <v>23</v>
      </c>
      <c r="K354" t="s">
        <v>17</v>
      </c>
      <c r="L354">
        <v>0</v>
      </c>
      <c r="M354">
        <v>1599</v>
      </c>
      <c r="N354">
        <v>1599</v>
      </c>
      <c r="O354">
        <v>1599</v>
      </c>
    </row>
    <row r="355" spans="1:15" x14ac:dyDescent="0.3">
      <c r="A355" t="s">
        <v>497</v>
      </c>
      <c r="B355" s="1">
        <v>46150</v>
      </c>
      <c r="C355" t="s">
        <v>184</v>
      </c>
      <c r="D355" t="s">
        <v>29</v>
      </c>
      <c r="E355" t="s">
        <v>30</v>
      </c>
      <c r="F355">
        <v>1</v>
      </c>
      <c r="G355">
        <v>349</v>
      </c>
      <c r="H355">
        <v>0.15</v>
      </c>
      <c r="I355" t="s">
        <v>15</v>
      </c>
      <c r="J355" t="s">
        <v>16</v>
      </c>
      <c r="K355" t="s">
        <v>24</v>
      </c>
      <c r="L355">
        <v>52.350000000000023</v>
      </c>
      <c r="M355">
        <v>349</v>
      </c>
      <c r="N355">
        <v>296.64999999999998</v>
      </c>
      <c r="O355">
        <v>0</v>
      </c>
    </row>
    <row r="356" spans="1:15" x14ac:dyDescent="0.3">
      <c r="A356" t="s">
        <v>498</v>
      </c>
      <c r="B356" s="1">
        <v>46150</v>
      </c>
      <c r="C356" t="s">
        <v>205</v>
      </c>
      <c r="D356" t="s">
        <v>13</v>
      </c>
      <c r="E356" t="s">
        <v>14</v>
      </c>
      <c r="F356">
        <v>1</v>
      </c>
      <c r="G356">
        <v>499</v>
      </c>
      <c r="H356">
        <v>0.2</v>
      </c>
      <c r="I356" t="s">
        <v>15</v>
      </c>
      <c r="J356" t="s">
        <v>58</v>
      </c>
      <c r="K356" t="s">
        <v>17</v>
      </c>
      <c r="L356">
        <v>99.799999999999955</v>
      </c>
      <c r="M356">
        <v>499</v>
      </c>
      <c r="N356">
        <v>399.20000000000005</v>
      </c>
      <c r="O356">
        <v>399.20000000000005</v>
      </c>
    </row>
    <row r="357" spans="1:15" x14ac:dyDescent="0.3">
      <c r="A357" t="s">
        <v>499</v>
      </c>
      <c r="B357" s="1">
        <v>46150</v>
      </c>
      <c r="C357" t="s">
        <v>124</v>
      </c>
      <c r="D357" t="s">
        <v>13</v>
      </c>
      <c r="E357" t="s">
        <v>93</v>
      </c>
      <c r="F357">
        <v>1</v>
      </c>
      <c r="G357">
        <v>1499</v>
      </c>
      <c r="H357">
        <v>0.15</v>
      </c>
      <c r="I357" t="s">
        <v>36</v>
      </c>
      <c r="J357" t="s">
        <v>58</v>
      </c>
      <c r="K357" t="s">
        <v>17</v>
      </c>
      <c r="L357">
        <v>224.85000000000014</v>
      </c>
      <c r="M357">
        <v>1499</v>
      </c>
      <c r="N357">
        <v>1274.1499999999999</v>
      </c>
      <c r="O357">
        <v>1274.1499999999999</v>
      </c>
    </row>
    <row r="358" spans="1:15" x14ac:dyDescent="0.3">
      <c r="A358" t="s">
        <v>500</v>
      </c>
      <c r="B358" s="1">
        <v>46150</v>
      </c>
      <c r="C358" t="s">
        <v>182</v>
      </c>
      <c r="D358" t="s">
        <v>34</v>
      </c>
      <c r="E358" t="s">
        <v>108</v>
      </c>
      <c r="F358">
        <v>1</v>
      </c>
      <c r="G358">
        <v>1599</v>
      </c>
      <c r="H358">
        <v>0.05</v>
      </c>
      <c r="I358" t="s">
        <v>36</v>
      </c>
      <c r="J358" t="s">
        <v>31</v>
      </c>
      <c r="K358" t="s">
        <v>17</v>
      </c>
      <c r="L358">
        <v>79.950000000000045</v>
      </c>
      <c r="M358">
        <v>1599</v>
      </c>
      <c r="N358">
        <v>1519.05</v>
      </c>
      <c r="O358">
        <v>1519.05</v>
      </c>
    </row>
    <row r="359" spans="1:15" x14ac:dyDescent="0.3">
      <c r="A359" t="s">
        <v>501</v>
      </c>
      <c r="B359" s="1">
        <v>46150</v>
      </c>
      <c r="C359" t="s">
        <v>117</v>
      </c>
      <c r="D359" t="s">
        <v>29</v>
      </c>
      <c r="E359" t="s">
        <v>46</v>
      </c>
      <c r="F359">
        <v>2</v>
      </c>
      <c r="G359">
        <v>199</v>
      </c>
      <c r="H359">
        <v>0.05</v>
      </c>
      <c r="I359" t="s">
        <v>22</v>
      </c>
      <c r="J359" t="s">
        <v>47</v>
      </c>
      <c r="K359" t="s">
        <v>17</v>
      </c>
      <c r="L359">
        <v>19.900000000000034</v>
      </c>
      <c r="M359">
        <v>398</v>
      </c>
      <c r="N359">
        <v>378.09999999999997</v>
      </c>
      <c r="O359">
        <v>378.09999999999997</v>
      </c>
    </row>
    <row r="360" spans="1:15" x14ac:dyDescent="0.3">
      <c r="A360" t="s">
        <v>502</v>
      </c>
      <c r="B360" s="1">
        <v>46151</v>
      </c>
      <c r="C360" t="s">
        <v>263</v>
      </c>
      <c r="D360" t="s">
        <v>20</v>
      </c>
      <c r="E360" t="s">
        <v>98</v>
      </c>
      <c r="F360">
        <v>2</v>
      </c>
      <c r="G360">
        <v>999</v>
      </c>
      <c r="H360">
        <v>0.1</v>
      </c>
      <c r="I360" t="s">
        <v>15</v>
      </c>
      <c r="J360" t="s">
        <v>58</v>
      </c>
      <c r="K360" t="s">
        <v>17</v>
      </c>
      <c r="L360">
        <v>199.79999999999995</v>
      </c>
      <c r="M360">
        <v>1998</v>
      </c>
      <c r="N360">
        <v>1798.2</v>
      </c>
      <c r="O360">
        <v>1798.2</v>
      </c>
    </row>
    <row r="361" spans="1:15" x14ac:dyDescent="0.3">
      <c r="A361" t="s">
        <v>503</v>
      </c>
      <c r="B361" s="1">
        <v>46152</v>
      </c>
      <c r="C361" t="s">
        <v>84</v>
      </c>
      <c r="D361" t="s">
        <v>13</v>
      </c>
      <c r="E361" t="s">
        <v>14</v>
      </c>
      <c r="F361">
        <v>1</v>
      </c>
      <c r="G361">
        <v>499</v>
      </c>
      <c r="H361">
        <v>0.05</v>
      </c>
      <c r="I361" t="s">
        <v>36</v>
      </c>
      <c r="J361" t="s">
        <v>31</v>
      </c>
      <c r="K361" t="s">
        <v>17</v>
      </c>
      <c r="L361">
        <v>24.950000000000045</v>
      </c>
      <c r="M361">
        <v>499</v>
      </c>
      <c r="N361">
        <v>474.04999999999995</v>
      </c>
      <c r="O361">
        <v>474.04999999999995</v>
      </c>
    </row>
    <row r="362" spans="1:15" x14ac:dyDescent="0.3">
      <c r="A362" t="s">
        <v>504</v>
      </c>
      <c r="B362" s="1">
        <v>46152</v>
      </c>
      <c r="C362" t="s">
        <v>260</v>
      </c>
      <c r="D362" t="s">
        <v>29</v>
      </c>
      <c r="E362" t="s">
        <v>46</v>
      </c>
      <c r="F362">
        <v>1</v>
      </c>
      <c r="G362">
        <v>199</v>
      </c>
      <c r="H362">
        <v>0.15</v>
      </c>
      <c r="I362" t="s">
        <v>36</v>
      </c>
      <c r="J362" t="s">
        <v>23</v>
      </c>
      <c r="K362" t="s">
        <v>17</v>
      </c>
      <c r="L362">
        <v>29.849999999999994</v>
      </c>
      <c r="M362">
        <v>199</v>
      </c>
      <c r="N362">
        <v>169.15</v>
      </c>
      <c r="O362">
        <v>169.15</v>
      </c>
    </row>
    <row r="363" spans="1:15" x14ac:dyDescent="0.3">
      <c r="A363" t="s">
        <v>505</v>
      </c>
      <c r="B363" s="1">
        <v>46152</v>
      </c>
      <c r="C363" t="s">
        <v>309</v>
      </c>
      <c r="D363" t="s">
        <v>13</v>
      </c>
      <c r="E363" t="s">
        <v>69</v>
      </c>
      <c r="F363">
        <v>2</v>
      </c>
      <c r="G363">
        <v>299</v>
      </c>
      <c r="H363">
        <v>0.05</v>
      </c>
      <c r="I363" t="s">
        <v>22</v>
      </c>
      <c r="J363" t="s">
        <v>16</v>
      </c>
      <c r="K363" t="s">
        <v>17</v>
      </c>
      <c r="L363">
        <v>29.899999999999977</v>
      </c>
      <c r="M363">
        <v>598</v>
      </c>
      <c r="N363">
        <v>568.1</v>
      </c>
      <c r="O363">
        <v>568.1</v>
      </c>
    </row>
    <row r="364" spans="1:15" x14ac:dyDescent="0.3">
      <c r="A364" t="s">
        <v>506</v>
      </c>
      <c r="B364" s="1">
        <v>46153</v>
      </c>
      <c r="C364" t="s">
        <v>291</v>
      </c>
      <c r="D364" t="s">
        <v>20</v>
      </c>
      <c r="E364" t="s">
        <v>21</v>
      </c>
      <c r="F364">
        <v>2</v>
      </c>
      <c r="G364">
        <v>1299</v>
      </c>
      <c r="H364">
        <v>0.2</v>
      </c>
      <c r="I364" t="s">
        <v>15</v>
      </c>
      <c r="J364" t="s">
        <v>47</v>
      </c>
      <c r="K364" t="s">
        <v>17</v>
      </c>
      <c r="L364">
        <v>519.59999999999991</v>
      </c>
      <c r="M364">
        <v>2598</v>
      </c>
      <c r="N364">
        <v>2078.4</v>
      </c>
      <c r="O364">
        <v>2078.4</v>
      </c>
    </row>
    <row r="365" spans="1:15" x14ac:dyDescent="0.3">
      <c r="A365" t="s">
        <v>507</v>
      </c>
      <c r="B365" s="1">
        <v>46154</v>
      </c>
      <c r="C365" t="s">
        <v>55</v>
      </c>
      <c r="D365" t="s">
        <v>29</v>
      </c>
      <c r="E365" t="s">
        <v>85</v>
      </c>
      <c r="F365">
        <v>1</v>
      </c>
      <c r="G365">
        <v>299</v>
      </c>
      <c r="H365">
        <v>0.1</v>
      </c>
      <c r="I365" t="s">
        <v>36</v>
      </c>
      <c r="J365" t="s">
        <v>16</v>
      </c>
      <c r="K365" t="s">
        <v>50</v>
      </c>
      <c r="L365">
        <v>29.899999999999977</v>
      </c>
      <c r="M365">
        <v>299</v>
      </c>
      <c r="N365">
        <v>269.10000000000002</v>
      </c>
      <c r="O365">
        <v>0</v>
      </c>
    </row>
    <row r="366" spans="1:15" x14ac:dyDescent="0.3">
      <c r="A366" t="s">
        <v>508</v>
      </c>
      <c r="B366" s="1">
        <v>46154</v>
      </c>
      <c r="C366" t="s">
        <v>182</v>
      </c>
      <c r="D366" t="s">
        <v>29</v>
      </c>
      <c r="E366" t="s">
        <v>46</v>
      </c>
      <c r="F366">
        <v>4</v>
      </c>
      <c r="G366">
        <v>199</v>
      </c>
      <c r="H366">
        <v>0.1</v>
      </c>
      <c r="I366" t="s">
        <v>15</v>
      </c>
      <c r="J366" t="s">
        <v>31</v>
      </c>
      <c r="K366" t="s">
        <v>24</v>
      </c>
      <c r="L366">
        <v>79.600000000000023</v>
      </c>
      <c r="M366">
        <v>796</v>
      </c>
      <c r="N366">
        <v>716.4</v>
      </c>
      <c r="O366">
        <v>0</v>
      </c>
    </row>
    <row r="367" spans="1:15" x14ac:dyDescent="0.3">
      <c r="A367" t="s">
        <v>509</v>
      </c>
      <c r="B367" s="1">
        <v>46154</v>
      </c>
      <c r="C367" t="s">
        <v>230</v>
      </c>
      <c r="D367" t="s">
        <v>20</v>
      </c>
      <c r="E367" t="s">
        <v>98</v>
      </c>
      <c r="F367">
        <v>1</v>
      </c>
      <c r="G367">
        <v>999</v>
      </c>
      <c r="H367">
        <v>0.1</v>
      </c>
      <c r="I367" t="s">
        <v>40</v>
      </c>
      <c r="J367" t="s">
        <v>16</v>
      </c>
      <c r="K367" t="s">
        <v>24</v>
      </c>
      <c r="L367">
        <v>99.899999999999977</v>
      </c>
      <c r="M367">
        <v>999</v>
      </c>
      <c r="N367">
        <v>899.1</v>
      </c>
      <c r="O367">
        <v>0</v>
      </c>
    </row>
    <row r="368" spans="1:15" x14ac:dyDescent="0.3">
      <c r="A368" t="s">
        <v>510</v>
      </c>
      <c r="B368" s="1">
        <v>46155</v>
      </c>
      <c r="C368" t="s">
        <v>272</v>
      </c>
      <c r="D368" t="s">
        <v>20</v>
      </c>
      <c r="E368" t="s">
        <v>72</v>
      </c>
      <c r="F368">
        <v>1</v>
      </c>
      <c r="G368">
        <v>1799</v>
      </c>
      <c r="H368">
        <v>0.15</v>
      </c>
      <c r="I368" t="s">
        <v>36</v>
      </c>
      <c r="J368" t="s">
        <v>16</v>
      </c>
      <c r="K368" t="s">
        <v>17</v>
      </c>
      <c r="L368">
        <v>269.85000000000014</v>
      </c>
      <c r="M368">
        <v>1799</v>
      </c>
      <c r="N368">
        <v>1529.1499999999999</v>
      </c>
      <c r="O368">
        <v>1529.1499999999999</v>
      </c>
    </row>
    <row r="369" spans="1:15" x14ac:dyDescent="0.3">
      <c r="A369" t="s">
        <v>511</v>
      </c>
      <c r="B369" s="1">
        <v>46155</v>
      </c>
      <c r="C369" t="s">
        <v>512</v>
      </c>
      <c r="D369" t="s">
        <v>34</v>
      </c>
      <c r="E369" t="s">
        <v>108</v>
      </c>
      <c r="F369">
        <v>1</v>
      </c>
      <c r="G369">
        <v>1599</v>
      </c>
      <c r="H369">
        <v>0.05</v>
      </c>
      <c r="I369" t="s">
        <v>22</v>
      </c>
      <c r="J369" t="s">
        <v>31</v>
      </c>
      <c r="K369" t="s">
        <v>24</v>
      </c>
      <c r="L369">
        <v>79.950000000000045</v>
      </c>
      <c r="M369">
        <v>1599</v>
      </c>
      <c r="N369">
        <v>1519.05</v>
      </c>
      <c r="O369">
        <v>0</v>
      </c>
    </row>
    <row r="370" spans="1:15" x14ac:dyDescent="0.3">
      <c r="A370" t="s">
        <v>513</v>
      </c>
      <c r="B370" s="1">
        <v>46156</v>
      </c>
      <c r="C370" t="s">
        <v>139</v>
      </c>
      <c r="D370" t="s">
        <v>34</v>
      </c>
      <c r="E370" t="s">
        <v>39</v>
      </c>
      <c r="F370">
        <v>1</v>
      </c>
      <c r="G370">
        <v>499</v>
      </c>
      <c r="H370">
        <v>0.1</v>
      </c>
      <c r="I370" t="s">
        <v>15</v>
      </c>
      <c r="J370" t="s">
        <v>47</v>
      </c>
      <c r="K370" t="s">
        <v>17</v>
      </c>
      <c r="L370">
        <v>49.899999999999977</v>
      </c>
      <c r="M370">
        <v>499</v>
      </c>
      <c r="N370">
        <v>449.1</v>
      </c>
      <c r="O370">
        <v>449.1</v>
      </c>
    </row>
    <row r="371" spans="1:15" x14ac:dyDescent="0.3">
      <c r="A371" t="s">
        <v>514</v>
      </c>
      <c r="B371" s="1">
        <v>46157</v>
      </c>
      <c r="C371" t="s">
        <v>280</v>
      </c>
      <c r="D371" t="s">
        <v>13</v>
      </c>
      <c r="E371" t="s">
        <v>125</v>
      </c>
      <c r="F371">
        <v>2</v>
      </c>
      <c r="G371">
        <v>1199</v>
      </c>
      <c r="H371">
        <v>0</v>
      </c>
      <c r="I371" t="s">
        <v>40</v>
      </c>
      <c r="J371" t="s">
        <v>23</v>
      </c>
      <c r="K371" t="s">
        <v>24</v>
      </c>
      <c r="L371">
        <v>0</v>
      </c>
      <c r="M371">
        <v>2398</v>
      </c>
      <c r="N371">
        <v>2398</v>
      </c>
      <c r="O371">
        <v>0</v>
      </c>
    </row>
    <row r="372" spans="1:15" x14ac:dyDescent="0.3">
      <c r="A372" t="s">
        <v>515</v>
      </c>
      <c r="B372" s="1">
        <v>46158</v>
      </c>
      <c r="C372" t="s">
        <v>250</v>
      </c>
      <c r="D372" t="s">
        <v>13</v>
      </c>
      <c r="E372" t="s">
        <v>14</v>
      </c>
      <c r="F372">
        <v>3</v>
      </c>
      <c r="G372">
        <v>499</v>
      </c>
      <c r="H372">
        <v>0</v>
      </c>
      <c r="I372" t="s">
        <v>40</v>
      </c>
      <c r="J372" t="s">
        <v>16</v>
      </c>
      <c r="K372" t="s">
        <v>17</v>
      </c>
      <c r="L372">
        <v>0</v>
      </c>
      <c r="M372">
        <v>1497</v>
      </c>
      <c r="N372">
        <v>1497</v>
      </c>
      <c r="O372">
        <v>1497</v>
      </c>
    </row>
    <row r="373" spans="1:15" x14ac:dyDescent="0.3">
      <c r="A373" t="s">
        <v>516</v>
      </c>
      <c r="B373" s="1">
        <v>46158</v>
      </c>
      <c r="C373" t="s">
        <v>87</v>
      </c>
      <c r="D373" t="s">
        <v>13</v>
      </c>
      <c r="E373" t="s">
        <v>14</v>
      </c>
      <c r="F373">
        <v>1</v>
      </c>
      <c r="G373">
        <v>499</v>
      </c>
      <c r="H373">
        <v>0</v>
      </c>
      <c r="I373" t="s">
        <v>15</v>
      </c>
      <c r="J373" t="s">
        <v>47</v>
      </c>
      <c r="K373" t="s">
        <v>17</v>
      </c>
      <c r="L373">
        <v>0</v>
      </c>
      <c r="M373">
        <v>499</v>
      </c>
      <c r="N373">
        <v>499</v>
      </c>
      <c r="O373">
        <v>499</v>
      </c>
    </row>
    <row r="374" spans="1:15" x14ac:dyDescent="0.3">
      <c r="A374" t="s">
        <v>517</v>
      </c>
      <c r="B374" s="1">
        <v>46158</v>
      </c>
      <c r="C374" t="s">
        <v>95</v>
      </c>
      <c r="D374" t="s">
        <v>29</v>
      </c>
      <c r="E374" t="s">
        <v>30</v>
      </c>
      <c r="F374">
        <v>5</v>
      </c>
      <c r="G374">
        <v>349</v>
      </c>
      <c r="H374">
        <v>0.2</v>
      </c>
      <c r="I374" t="s">
        <v>22</v>
      </c>
      <c r="J374" t="s">
        <v>47</v>
      </c>
      <c r="K374" t="s">
        <v>50</v>
      </c>
      <c r="L374">
        <v>349</v>
      </c>
      <c r="M374">
        <v>1745</v>
      </c>
      <c r="N374">
        <v>1396</v>
      </c>
      <c r="O374">
        <v>0</v>
      </c>
    </row>
    <row r="375" spans="1:15" x14ac:dyDescent="0.3">
      <c r="A375" t="s">
        <v>518</v>
      </c>
      <c r="B375" s="1">
        <v>46158</v>
      </c>
      <c r="C375" t="s">
        <v>65</v>
      </c>
      <c r="D375" t="s">
        <v>29</v>
      </c>
      <c r="E375" t="s">
        <v>122</v>
      </c>
      <c r="F375">
        <v>2</v>
      </c>
      <c r="G375">
        <v>249</v>
      </c>
      <c r="H375">
        <v>0.15</v>
      </c>
      <c r="I375" t="s">
        <v>40</v>
      </c>
      <c r="J375" t="s">
        <v>23</v>
      </c>
      <c r="K375" t="s">
        <v>50</v>
      </c>
      <c r="L375">
        <v>74.699999999999989</v>
      </c>
      <c r="M375">
        <v>498</v>
      </c>
      <c r="N375">
        <v>423.3</v>
      </c>
      <c r="O375">
        <v>0</v>
      </c>
    </row>
    <row r="376" spans="1:15" x14ac:dyDescent="0.3">
      <c r="A376" t="s">
        <v>519</v>
      </c>
      <c r="B376" s="1">
        <v>46158</v>
      </c>
      <c r="C376" t="s">
        <v>87</v>
      </c>
      <c r="D376" t="s">
        <v>29</v>
      </c>
      <c r="E376" t="s">
        <v>85</v>
      </c>
      <c r="F376">
        <v>4</v>
      </c>
      <c r="G376">
        <v>299</v>
      </c>
      <c r="H376">
        <v>0.05</v>
      </c>
      <c r="I376" t="s">
        <v>36</v>
      </c>
      <c r="J376" t="s">
        <v>16</v>
      </c>
      <c r="K376" t="s">
        <v>17</v>
      </c>
      <c r="L376">
        <v>59.799999999999955</v>
      </c>
      <c r="M376">
        <v>1196</v>
      </c>
      <c r="N376">
        <v>1136.2</v>
      </c>
      <c r="O376">
        <v>1136.2</v>
      </c>
    </row>
    <row r="377" spans="1:15" x14ac:dyDescent="0.3">
      <c r="A377" t="s">
        <v>520</v>
      </c>
      <c r="B377" s="1">
        <v>46158</v>
      </c>
      <c r="C377" t="s">
        <v>166</v>
      </c>
      <c r="D377" t="s">
        <v>13</v>
      </c>
      <c r="E377" t="s">
        <v>69</v>
      </c>
      <c r="F377">
        <v>5</v>
      </c>
      <c r="G377">
        <v>299</v>
      </c>
      <c r="H377">
        <v>0.05</v>
      </c>
      <c r="I377" t="s">
        <v>40</v>
      </c>
      <c r="J377" t="s">
        <v>58</v>
      </c>
      <c r="K377" t="s">
        <v>50</v>
      </c>
      <c r="L377">
        <v>74.75</v>
      </c>
      <c r="M377">
        <v>1495</v>
      </c>
      <c r="N377">
        <v>1420.25</v>
      </c>
      <c r="O377">
        <v>0</v>
      </c>
    </row>
    <row r="378" spans="1:15" x14ac:dyDescent="0.3">
      <c r="A378" t="s">
        <v>521</v>
      </c>
      <c r="B378" s="1">
        <v>46159</v>
      </c>
      <c r="C378" t="s">
        <v>339</v>
      </c>
      <c r="D378" t="s">
        <v>29</v>
      </c>
      <c r="E378" t="s">
        <v>46</v>
      </c>
      <c r="F378">
        <v>2</v>
      </c>
      <c r="G378">
        <v>199</v>
      </c>
      <c r="H378">
        <v>0.15</v>
      </c>
      <c r="I378" t="s">
        <v>40</v>
      </c>
      <c r="J378" t="s">
        <v>16</v>
      </c>
      <c r="K378" t="s">
        <v>17</v>
      </c>
      <c r="L378">
        <v>59.699999999999989</v>
      </c>
      <c r="M378">
        <v>398</v>
      </c>
      <c r="N378">
        <v>338.3</v>
      </c>
      <c r="O378">
        <v>338.3</v>
      </c>
    </row>
    <row r="379" spans="1:15" x14ac:dyDescent="0.3">
      <c r="A379" t="s">
        <v>522</v>
      </c>
      <c r="B379" s="1">
        <v>46159</v>
      </c>
      <c r="C379" t="s">
        <v>42</v>
      </c>
      <c r="D379" t="s">
        <v>34</v>
      </c>
      <c r="E379" t="s">
        <v>108</v>
      </c>
      <c r="F379">
        <v>4</v>
      </c>
      <c r="G379">
        <v>1599</v>
      </c>
      <c r="H379">
        <v>0.15</v>
      </c>
      <c r="I379" t="s">
        <v>15</v>
      </c>
      <c r="J379" t="s">
        <v>47</v>
      </c>
      <c r="K379" t="s">
        <v>50</v>
      </c>
      <c r="L379">
        <v>959.40000000000055</v>
      </c>
      <c r="M379">
        <v>6396</v>
      </c>
      <c r="N379">
        <v>5436.5999999999995</v>
      </c>
      <c r="O379">
        <v>0</v>
      </c>
    </row>
    <row r="380" spans="1:15" x14ac:dyDescent="0.3">
      <c r="A380" t="s">
        <v>523</v>
      </c>
      <c r="B380" s="1">
        <v>46159</v>
      </c>
      <c r="C380" t="s">
        <v>161</v>
      </c>
      <c r="D380" t="s">
        <v>34</v>
      </c>
      <c r="E380" t="s">
        <v>35</v>
      </c>
      <c r="F380">
        <v>4</v>
      </c>
      <c r="G380">
        <v>6499</v>
      </c>
      <c r="H380">
        <v>0.05</v>
      </c>
      <c r="I380" t="s">
        <v>36</v>
      </c>
      <c r="J380" t="s">
        <v>47</v>
      </c>
      <c r="K380" t="s">
        <v>17</v>
      </c>
      <c r="L380">
        <v>1299.8000000000029</v>
      </c>
      <c r="M380">
        <v>25996</v>
      </c>
      <c r="N380">
        <v>24696.199999999997</v>
      </c>
      <c r="O380">
        <v>24696.199999999997</v>
      </c>
    </row>
    <row r="381" spans="1:15" x14ac:dyDescent="0.3">
      <c r="A381" t="s">
        <v>524</v>
      </c>
      <c r="B381" s="1">
        <v>46160</v>
      </c>
      <c r="C381" t="s">
        <v>479</v>
      </c>
      <c r="D381" t="s">
        <v>34</v>
      </c>
      <c r="E381" t="s">
        <v>53</v>
      </c>
      <c r="F381">
        <v>1</v>
      </c>
      <c r="G381">
        <v>899</v>
      </c>
      <c r="H381">
        <v>0.15</v>
      </c>
      <c r="I381" t="s">
        <v>22</v>
      </c>
      <c r="J381" t="s">
        <v>16</v>
      </c>
      <c r="K381" t="s">
        <v>24</v>
      </c>
      <c r="L381">
        <v>134.85000000000002</v>
      </c>
      <c r="M381">
        <v>899</v>
      </c>
      <c r="N381">
        <v>764.15</v>
      </c>
      <c r="O381">
        <v>0</v>
      </c>
    </row>
    <row r="382" spans="1:15" x14ac:dyDescent="0.3">
      <c r="A382" t="s">
        <v>525</v>
      </c>
      <c r="B382" s="1">
        <v>46160</v>
      </c>
      <c r="C382" t="s">
        <v>26</v>
      </c>
      <c r="D382" t="s">
        <v>13</v>
      </c>
      <c r="E382" t="s">
        <v>231</v>
      </c>
      <c r="F382">
        <v>1</v>
      </c>
      <c r="G382">
        <v>699</v>
      </c>
      <c r="H382">
        <v>0</v>
      </c>
      <c r="I382" t="s">
        <v>22</v>
      </c>
      <c r="J382" t="s">
        <v>23</v>
      </c>
      <c r="K382" t="s">
        <v>24</v>
      </c>
      <c r="L382">
        <v>0</v>
      </c>
      <c r="M382">
        <v>699</v>
      </c>
      <c r="N382">
        <v>699</v>
      </c>
      <c r="O382">
        <v>0</v>
      </c>
    </row>
    <row r="383" spans="1:15" x14ac:dyDescent="0.3">
      <c r="A383" t="s">
        <v>526</v>
      </c>
      <c r="B383" s="1">
        <v>46160</v>
      </c>
      <c r="C383" t="s">
        <v>166</v>
      </c>
      <c r="D383" t="s">
        <v>34</v>
      </c>
      <c r="E383" t="s">
        <v>35</v>
      </c>
      <c r="F383">
        <v>2</v>
      </c>
      <c r="G383">
        <v>6499</v>
      </c>
      <c r="H383">
        <v>0.15</v>
      </c>
      <c r="I383" t="s">
        <v>22</v>
      </c>
      <c r="J383" t="s">
        <v>23</v>
      </c>
      <c r="K383" t="s">
        <v>17</v>
      </c>
      <c r="L383">
        <v>1949.7000000000007</v>
      </c>
      <c r="M383">
        <v>12998</v>
      </c>
      <c r="N383">
        <v>11048.3</v>
      </c>
      <c r="O383">
        <v>11048.3</v>
      </c>
    </row>
    <row r="384" spans="1:15" x14ac:dyDescent="0.3">
      <c r="A384" t="s">
        <v>527</v>
      </c>
      <c r="B384" s="1">
        <v>46161</v>
      </c>
      <c r="C384" t="s">
        <v>333</v>
      </c>
      <c r="D384" t="s">
        <v>20</v>
      </c>
      <c r="E384" t="s">
        <v>21</v>
      </c>
      <c r="F384">
        <v>1</v>
      </c>
      <c r="G384">
        <v>1299</v>
      </c>
      <c r="H384">
        <v>0.1</v>
      </c>
      <c r="I384" t="s">
        <v>15</v>
      </c>
      <c r="J384" t="s">
        <v>16</v>
      </c>
      <c r="K384" t="s">
        <v>17</v>
      </c>
      <c r="L384">
        <v>129.89999999999986</v>
      </c>
      <c r="M384">
        <v>1299</v>
      </c>
      <c r="N384">
        <v>1169.1000000000001</v>
      </c>
      <c r="O384">
        <v>1169.1000000000001</v>
      </c>
    </row>
    <row r="385" spans="1:15" x14ac:dyDescent="0.3">
      <c r="A385" t="s">
        <v>528</v>
      </c>
      <c r="B385" s="1">
        <v>46161</v>
      </c>
      <c r="C385" t="s">
        <v>220</v>
      </c>
      <c r="D385" t="s">
        <v>20</v>
      </c>
      <c r="E385" t="s">
        <v>21</v>
      </c>
      <c r="F385">
        <v>3</v>
      </c>
      <c r="G385">
        <v>1299</v>
      </c>
      <c r="H385">
        <v>0.15</v>
      </c>
      <c r="I385" t="s">
        <v>15</v>
      </c>
      <c r="J385" t="s">
        <v>31</v>
      </c>
      <c r="K385" t="s">
        <v>17</v>
      </c>
      <c r="L385">
        <v>584.55000000000018</v>
      </c>
      <c r="M385">
        <v>3897</v>
      </c>
      <c r="N385">
        <v>3312.45</v>
      </c>
      <c r="O385">
        <v>3312.45</v>
      </c>
    </row>
    <row r="386" spans="1:15" x14ac:dyDescent="0.3">
      <c r="A386" t="s">
        <v>529</v>
      </c>
      <c r="B386" s="1">
        <v>46162</v>
      </c>
      <c r="C386" t="s">
        <v>209</v>
      </c>
      <c r="D386" t="s">
        <v>34</v>
      </c>
      <c r="E386" t="s">
        <v>53</v>
      </c>
      <c r="F386">
        <v>3</v>
      </c>
      <c r="G386">
        <v>899</v>
      </c>
      <c r="H386">
        <v>0.15</v>
      </c>
      <c r="I386" t="s">
        <v>36</v>
      </c>
      <c r="J386" t="s">
        <v>58</v>
      </c>
      <c r="K386" t="s">
        <v>17</v>
      </c>
      <c r="L386">
        <v>404.55000000000018</v>
      </c>
      <c r="M386">
        <v>2697</v>
      </c>
      <c r="N386">
        <v>2292.4499999999998</v>
      </c>
      <c r="O386">
        <v>2292.4499999999998</v>
      </c>
    </row>
    <row r="387" spans="1:15" x14ac:dyDescent="0.3">
      <c r="A387" t="s">
        <v>530</v>
      </c>
      <c r="B387" s="1">
        <v>46162</v>
      </c>
      <c r="C387" t="s">
        <v>166</v>
      </c>
      <c r="D387" t="s">
        <v>34</v>
      </c>
      <c r="E387" t="s">
        <v>39</v>
      </c>
      <c r="F387">
        <v>2</v>
      </c>
      <c r="G387">
        <v>499</v>
      </c>
      <c r="H387">
        <v>0.05</v>
      </c>
      <c r="I387" t="s">
        <v>15</v>
      </c>
      <c r="J387" t="s">
        <v>47</v>
      </c>
      <c r="K387" t="s">
        <v>24</v>
      </c>
      <c r="L387">
        <v>49.900000000000091</v>
      </c>
      <c r="M387">
        <v>998</v>
      </c>
      <c r="N387">
        <v>948.09999999999991</v>
      </c>
      <c r="O387">
        <v>0</v>
      </c>
    </row>
    <row r="388" spans="1:15" x14ac:dyDescent="0.3">
      <c r="A388" t="s">
        <v>531</v>
      </c>
      <c r="B388" s="1">
        <v>46162</v>
      </c>
      <c r="C388" t="s">
        <v>112</v>
      </c>
      <c r="D388" t="s">
        <v>13</v>
      </c>
      <c r="E388" t="s">
        <v>93</v>
      </c>
      <c r="F388">
        <v>3</v>
      </c>
      <c r="G388">
        <v>1499</v>
      </c>
      <c r="H388">
        <v>0.05</v>
      </c>
      <c r="I388" t="s">
        <v>36</v>
      </c>
      <c r="J388" t="s">
        <v>47</v>
      </c>
      <c r="K388" t="s">
        <v>17</v>
      </c>
      <c r="L388">
        <v>224.85000000000036</v>
      </c>
      <c r="M388">
        <v>4497</v>
      </c>
      <c r="N388">
        <v>4272.1499999999996</v>
      </c>
      <c r="O388">
        <v>4272.1499999999996</v>
      </c>
    </row>
    <row r="389" spans="1:15" x14ac:dyDescent="0.3">
      <c r="A389" t="s">
        <v>532</v>
      </c>
      <c r="B389" s="1">
        <v>46163</v>
      </c>
      <c r="C389" t="s">
        <v>146</v>
      </c>
      <c r="D389" t="s">
        <v>13</v>
      </c>
      <c r="E389" t="s">
        <v>14</v>
      </c>
      <c r="F389">
        <v>3</v>
      </c>
      <c r="G389">
        <v>499</v>
      </c>
      <c r="H389">
        <v>0.05</v>
      </c>
      <c r="I389" t="s">
        <v>15</v>
      </c>
      <c r="J389" t="s">
        <v>16</v>
      </c>
      <c r="K389" t="s">
        <v>17</v>
      </c>
      <c r="L389">
        <v>74.850000000000136</v>
      </c>
      <c r="M389">
        <v>1497</v>
      </c>
      <c r="N389">
        <v>1422.1499999999999</v>
      </c>
      <c r="O389">
        <v>1422.1499999999999</v>
      </c>
    </row>
    <row r="390" spans="1:15" x14ac:dyDescent="0.3">
      <c r="A390" t="s">
        <v>533</v>
      </c>
      <c r="B390" s="1">
        <v>46164</v>
      </c>
      <c r="C390" t="s">
        <v>479</v>
      </c>
      <c r="D390" t="s">
        <v>13</v>
      </c>
      <c r="E390" t="s">
        <v>14</v>
      </c>
      <c r="F390">
        <v>1</v>
      </c>
      <c r="G390">
        <v>499</v>
      </c>
      <c r="H390">
        <v>0.1</v>
      </c>
      <c r="I390" t="s">
        <v>15</v>
      </c>
      <c r="J390" t="s">
        <v>58</v>
      </c>
      <c r="K390" t="s">
        <v>24</v>
      </c>
      <c r="L390">
        <v>49.899999999999977</v>
      </c>
      <c r="M390">
        <v>499</v>
      </c>
      <c r="N390">
        <v>449.1</v>
      </c>
      <c r="O390">
        <v>0</v>
      </c>
    </row>
    <row r="391" spans="1:15" x14ac:dyDescent="0.3">
      <c r="A391" t="s">
        <v>534</v>
      </c>
      <c r="B391" s="1">
        <v>46164</v>
      </c>
      <c r="C391" t="s">
        <v>402</v>
      </c>
      <c r="D391" t="s">
        <v>20</v>
      </c>
      <c r="E391" t="s">
        <v>21</v>
      </c>
      <c r="F391">
        <v>1</v>
      </c>
      <c r="G391">
        <v>1299</v>
      </c>
      <c r="H391">
        <v>0.2</v>
      </c>
      <c r="I391" t="s">
        <v>15</v>
      </c>
      <c r="J391" t="s">
        <v>47</v>
      </c>
      <c r="K391" t="s">
        <v>24</v>
      </c>
      <c r="L391">
        <v>259.79999999999995</v>
      </c>
      <c r="M391">
        <v>1299</v>
      </c>
      <c r="N391">
        <v>1039.2</v>
      </c>
      <c r="O391">
        <v>0</v>
      </c>
    </row>
    <row r="392" spans="1:15" x14ac:dyDescent="0.3">
      <c r="A392" t="s">
        <v>535</v>
      </c>
      <c r="B392" s="1">
        <v>46164</v>
      </c>
      <c r="C392" t="s">
        <v>62</v>
      </c>
      <c r="D392" t="s">
        <v>20</v>
      </c>
      <c r="E392" t="s">
        <v>82</v>
      </c>
      <c r="F392">
        <v>2</v>
      </c>
      <c r="G392">
        <v>2299</v>
      </c>
      <c r="H392">
        <v>0.2</v>
      </c>
      <c r="I392" t="s">
        <v>40</v>
      </c>
      <c r="J392" t="s">
        <v>16</v>
      </c>
      <c r="K392" t="s">
        <v>50</v>
      </c>
      <c r="L392">
        <v>919.59999999999991</v>
      </c>
      <c r="M392">
        <v>4598</v>
      </c>
      <c r="N392">
        <v>3678.4</v>
      </c>
      <c r="O392">
        <v>0</v>
      </c>
    </row>
    <row r="393" spans="1:15" x14ac:dyDescent="0.3">
      <c r="A393" t="s">
        <v>536</v>
      </c>
      <c r="B393" s="1">
        <v>46164</v>
      </c>
      <c r="C393" t="s">
        <v>148</v>
      </c>
      <c r="D393" t="s">
        <v>29</v>
      </c>
      <c r="E393" t="s">
        <v>46</v>
      </c>
      <c r="F393">
        <v>2</v>
      </c>
      <c r="G393">
        <v>199</v>
      </c>
      <c r="H393">
        <v>0.15</v>
      </c>
      <c r="I393" t="s">
        <v>15</v>
      </c>
      <c r="J393" t="s">
        <v>31</v>
      </c>
      <c r="K393" t="s">
        <v>50</v>
      </c>
      <c r="L393">
        <v>59.699999999999989</v>
      </c>
      <c r="M393">
        <v>398</v>
      </c>
      <c r="N393">
        <v>338.3</v>
      </c>
      <c r="O393">
        <v>0</v>
      </c>
    </row>
    <row r="394" spans="1:15" x14ac:dyDescent="0.3">
      <c r="A394" t="s">
        <v>537</v>
      </c>
      <c r="B394" s="1">
        <v>46164</v>
      </c>
      <c r="C394" t="s">
        <v>71</v>
      </c>
      <c r="D394" t="s">
        <v>20</v>
      </c>
      <c r="E394" t="s">
        <v>66</v>
      </c>
      <c r="F394">
        <v>1</v>
      </c>
      <c r="G394">
        <v>799</v>
      </c>
      <c r="H394">
        <v>0.1</v>
      </c>
      <c r="I394" t="s">
        <v>22</v>
      </c>
      <c r="J394" t="s">
        <v>16</v>
      </c>
      <c r="K394" t="s">
        <v>17</v>
      </c>
      <c r="L394">
        <v>79.899999999999977</v>
      </c>
      <c r="M394">
        <v>799</v>
      </c>
      <c r="N394">
        <v>719.1</v>
      </c>
      <c r="O394">
        <v>719.1</v>
      </c>
    </row>
    <row r="395" spans="1:15" x14ac:dyDescent="0.3">
      <c r="A395" t="s">
        <v>538</v>
      </c>
      <c r="B395" s="1">
        <v>46164</v>
      </c>
      <c r="C395" t="s">
        <v>263</v>
      </c>
      <c r="D395" t="s">
        <v>29</v>
      </c>
      <c r="E395" t="s">
        <v>77</v>
      </c>
      <c r="F395">
        <v>3</v>
      </c>
      <c r="G395">
        <v>399</v>
      </c>
      <c r="H395">
        <v>0.15</v>
      </c>
      <c r="I395" t="s">
        <v>36</v>
      </c>
      <c r="J395" t="s">
        <v>16</v>
      </c>
      <c r="K395" t="s">
        <v>17</v>
      </c>
      <c r="L395">
        <v>179.55000000000007</v>
      </c>
      <c r="M395">
        <v>1197</v>
      </c>
      <c r="N395">
        <v>1017.4499999999999</v>
      </c>
      <c r="O395">
        <v>1017.4499999999999</v>
      </c>
    </row>
    <row r="396" spans="1:15" x14ac:dyDescent="0.3">
      <c r="A396" t="s">
        <v>539</v>
      </c>
      <c r="B396" s="1">
        <v>46165</v>
      </c>
      <c r="C396" t="s">
        <v>68</v>
      </c>
      <c r="D396" t="s">
        <v>20</v>
      </c>
      <c r="E396" t="s">
        <v>98</v>
      </c>
      <c r="F396">
        <v>3</v>
      </c>
      <c r="G396">
        <v>999</v>
      </c>
      <c r="H396">
        <v>0.2</v>
      </c>
      <c r="I396" t="s">
        <v>15</v>
      </c>
      <c r="J396" t="s">
        <v>31</v>
      </c>
      <c r="K396" t="s">
        <v>24</v>
      </c>
      <c r="L396">
        <v>599.40000000000009</v>
      </c>
      <c r="M396">
        <v>2997</v>
      </c>
      <c r="N396">
        <v>2397.6</v>
      </c>
      <c r="O396">
        <v>0</v>
      </c>
    </row>
    <row r="397" spans="1:15" x14ac:dyDescent="0.3">
      <c r="A397" t="s">
        <v>540</v>
      </c>
      <c r="B397" s="1">
        <v>46165</v>
      </c>
      <c r="C397" t="s">
        <v>177</v>
      </c>
      <c r="D397" t="s">
        <v>29</v>
      </c>
      <c r="E397" t="s">
        <v>77</v>
      </c>
      <c r="F397">
        <v>1</v>
      </c>
      <c r="G397">
        <v>399</v>
      </c>
      <c r="H397">
        <v>0.2</v>
      </c>
      <c r="I397" t="s">
        <v>15</v>
      </c>
      <c r="J397" t="s">
        <v>47</v>
      </c>
      <c r="K397" t="s">
        <v>17</v>
      </c>
      <c r="L397">
        <v>79.799999999999955</v>
      </c>
      <c r="M397">
        <v>399</v>
      </c>
      <c r="N397">
        <v>319.20000000000005</v>
      </c>
      <c r="O397">
        <v>319.20000000000005</v>
      </c>
    </row>
    <row r="398" spans="1:15" x14ac:dyDescent="0.3">
      <c r="A398" t="s">
        <v>541</v>
      </c>
      <c r="B398" s="1">
        <v>46166</v>
      </c>
      <c r="C398" t="s">
        <v>349</v>
      </c>
      <c r="D398" t="s">
        <v>13</v>
      </c>
      <c r="E398" t="s">
        <v>231</v>
      </c>
      <c r="F398">
        <v>3</v>
      </c>
      <c r="G398">
        <v>699</v>
      </c>
      <c r="H398">
        <v>0.05</v>
      </c>
      <c r="I398" t="s">
        <v>15</v>
      </c>
      <c r="J398" t="s">
        <v>31</v>
      </c>
      <c r="K398" t="s">
        <v>17</v>
      </c>
      <c r="L398">
        <v>104.85000000000014</v>
      </c>
      <c r="M398">
        <v>2097</v>
      </c>
      <c r="N398">
        <v>1992.1499999999999</v>
      </c>
      <c r="O398">
        <v>1992.1499999999999</v>
      </c>
    </row>
    <row r="399" spans="1:15" x14ac:dyDescent="0.3">
      <c r="A399" t="s">
        <v>542</v>
      </c>
      <c r="B399" s="1">
        <v>46167</v>
      </c>
      <c r="C399" t="s">
        <v>296</v>
      </c>
      <c r="D399" t="s">
        <v>20</v>
      </c>
      <c r="E399" t="s">
        <v>72</v>
      </c>
      <c r="F399">
        <v>2</v>
      </c>
      <c r="G399">
        <v>1799</v>
      </c>
      <c r="H399">
        <v>0.2</v>
      </c>
      <c r="I399" t="s">
        <v>22</v>
      </c>
      <c r="J399" t="s">
        <v>58</v>
      </c>
      <c r="K399" t="s">
        <v>17</v>
      </c>
      <c r="L399">
        <v>719.59999999999991</v>
      </c>
      <c r="M399">
        <v>3598</v>
      </c>
      <c r="N399">
        <v>2878.4</v>
      </c>
      <c r="O399">
        <v>2878.4</v>
      </c>
    </row>
    <row r="400" spans="1:15" x14ac:dyDescent="0.3">
      <c r="A400" t="s">
        <v>543</v>
      </c>
      <c r="B400" s="1">
        <v>46167</v>
      </c>
      <c r="C400" t="s">
        <v>196</v>
      </c>
      <c r="D400" t="s">
        <v>34</v>
      </c>
      <c r="E400" t="s">
        <v>53</v>
      </c>
      <c r="F400">
        <v>1</v>
      </c>
      <c r="G400">
        <v>899</v>
      </c>
      <c r="H400">
        <v>0</v>
      </c>
      <c r="I400" t="s">
        <v>36</v>
      </c>
      <c r="J400" t="s">
        <v>16</v>
      </c>
      <c r="K400" t="s">
        <v>50</v>
      </c>
      <c r="L400">
        <v>0</v>
      </c>
      <c r="M400">
        <v>899</v>
      </c>
      <c r="N400">
        <v>899</v>
      </c>
      <c r="O400">
        <v>0</v>
      </c>
    </row>
    <row r="401" spans="1:15" x14ac:dyDescent="0.3">
      <c r="A401" t="s">
        <v>544</v>
      </c>
      <c r="B401" s="1">
        <v>46167</v>
      </c>
      <c r="C401" t="s">
        <v>12</v>
      </c>
      <c r="D401" t="s">
        <v>29</v>
      </c>
      <c r="E401" t="s">
        <v>77</v>
      </c>
      <c r="F401">
        <v>1</v>
      </c>
      <c r="G401">
        <v>399</v>
      </c>
      <c r="H401">
        <v>0</v>
      </c>
      <c r="I401" t="s">
        <v>40</v>
      </c>
      <c r="J401" t="s">
        <v>16</v>
      </c>
      <c r="K401" t="s">
        <v>17</v>
      </c>
      <c r="L401">
        <v>0</v>
      </c>
      <c r="M401">
        <v>399</v>
      </c>
      <c r="N401">
        <v>399</v>
      </c>
      <c r="O401">
        <v>399</v>
      </c>
    </row>
    <row r="402" spans="1:15" x14ac:dyDescent="0.3">
      <c r="A402" t="s">
        <v>545</v>
      </c>
      <c r="B402" s="1">
        <v>46167</v>
      </c>
      <c r="C402" t="s">
        <v>479</v>
      </c>
      <c r="D402" t="s">
        <v>13</v>
      </c>
      <c r="E402" t="s">
        <v>69</v>
      </c>
      <c r="F402">
        <v>1</v>
      </c>
      <c r="G402">
        <v>299</v>
      </c>
      <c r="H402">
        <v>0.2</v>
      </c>
      <c r="I402" t="s">
        <v>22</v>
      </c>
      <c r="J402" t="s">
        <v>47</v>
      </c>
      <c r="K402" t="s">
        <v>17</v>
      </c>
      <c r="L402">
        <v>59.799999999999983</v>
      </c>
      <c r="M402">
        <v>299</v>
      </c>
      <c r="N402">
        <v>239.20000000000002</v>
      </c>
      <c r="O402">
        <v>239.20000000000002</v>
      </c>
    </row>
    <row r="403" spans="1:15" x14ac:dyDescent="0.3">
      <c r="A403" t="s">
        <v>546</v>
      </c>
      <c r="B403" s="1">
        <v>46167</v>
      </c>
      <c r="C403" t="s">
        <v>275</v>
      </c>
      <c r="D403" t="s">
        <v>20</v>
      </c>
      <c r="E403" t="s">
        <v>82</v>
      </c>
      <c r="F403">
        <v>1</v>
      </c>
      <c r="G403">
        <v>2299</v>
      </c>
      <c r="H403">
        <v>0.2</v>
      </c>
      <c r="I403" t="s">
        <v>36</v>
      </c>
      <c r="J403" t="s">
        <v>47</v>
      </c>
      <c r="K403" t="s">
        <v>17</v>
      </c>
      <c r="L403">
        <v>459.79999999999995</v>
      </c>
      <c r="M403">
        <v>2299</v>
      </c>
      <c r="N403">
        <v>1839.2</v>
      </c>
      <c r="O403">
        <v>1839.2</v>
      </c>
    </row>
    <row r="404" spans="1:15" x14ac:dyDescent="0.3">
      <c r="A404" t="s">
        <v>547</v>
      </c>
      <c r="B404" s="1">
        <v>46167</v>
      </c>
      <c r="C404" t="s">
        <v>87</v>
      </c>
      <c r="D404" t="s">
        <v>13</v>
      </c>
      <c r="E404" t="s">
        <v>231</v>
      </c>
      <c r="F404">
        <v>2</v>
      </c>
      <c r="G404">
        <v>699</v>
      </c>
      <c r="H404">
        <v>0.15</v>
      </c>
      <c r="I404" t="s">
        <v>22</v>
      </c>
      <c r="J404" t="s">
        <v>58</v>
      </c>
      <c r="K404" t="s">
        <v>50</v>
      </c>
      <c r="L404">
        <v>209.70000000000005</v>
      </c>
      <c r="M404">
        <v>1398</v>
      </c>
      <c r="N404">
        <v>1188.3</v>
      </c>
      <c r="O404">
        <v>0</v>
      </c>
    </row>
    <row r="405" spans="1:15" x14ac:dyDescent="0.3">
      <c r="A405" t="s">
        <v>548</v>
      </c>
      <c r="B405" s="1">
        <v>46168</v>
      </c>
      <c r="C405" t="s">
        <v>57</v>
      </c>
      <c r="D405" t="s">
        <v>20</v>
      </c>
      <c r="E405" t="s">
        <v>72</v>
      </c>
      <c r="F405">
        <v>2</v>
      </c>
      <c r="G405">
        <v>1799</v>
      </c>
      <c r="H405">
        <v>0</v>
      </c>
      <c r="I405" t="s">
        <v>15</v>
      </c>
      <c r="J405" t="s">
        <v>58</v>
      </c>
      <c r="K405" t="s">
        <v>50</v>
      </c>
      <c r="L405">
        <v>0</v>
      </c>
      <c r="M405">
        <v>3598</v>
      </c>
      <c r="N405">
        <v>3598</v>
      </c>
      <c r="O405">
        <v>0</v>
      </c>
    </row>
    <row r="406" spans="1:15" x14ac:dyDescent="0.3">
      <c r="A406" t="s">
        <v>549</v>
      </c>
      <c r="B406" s="1">
        <v>46168</v>
      </c>
      <c r="C406" t="s">
        <v>81</v>
      </c>
      <c r="D406" t="s">
        <v>13</v>
      </c>
      <c r="E406" t="s">
        <v>231</v>
      </c>
      <c r="F406">
        <v>1</v>
      </c>
      <c r="G406">
        <v>699</v>
      </c>
      <c r="H406">
        <v>0.15</v>
      </c>
      <c r="I406" t="s">
        <v>22</v>
      </c>
      <c r="J406" t="s">
        <v>47</v>
      </c>
      <c r="K406" t="s">
        <v>17</v>
      </c>
      <c r="L406">
        <v>104.85000000000002</v>
      </c>
      <c r="M406">
        <v>699</v>
      </c>
      <c r="N406">
        <v>594.15</v>
      </c>
      <c r="O406">
        <v>594.15</v>
      </c>
    </row>
    <row r="407" spans="1:15" x14ac:dyDescent="0.3">
      <c r="A407" t="s">
        <v>550</v>
      </c>
      <c r="B407" s="1">
        <v>46168</v>
      </c>
      <c r="C407" t="s">
        <v>146</v>
      </c>
      <c r="D407" t="s">
        <v>34</v>
      </c>
      <c r="E407" t="s">
        <v>39</v>
      </c>
      <c r="F407">
        <v>1</v>
      </c>
      <c r="G407">
        <v>499</v>
      </c>
      <c r="H407">
        <v>0</v>
      </c>
      <c r="I407" t="s">
        <v>22</v>
      </c>
      <c r="J407" t="s">
        <v>16</v>
      </c>
      <c r="K407" t="s">
        <v>24</v>
      </c>
      <c r="L407">
        <v>0</v>
      </c>
      <c r="M407">
        <v>499</v>
      </c>
      <c r="N407">
        <v>499</v>
      </c>
      <c r="O407">
        <v>0</v>
      </c>
    </row>
    <row r="408" spans="1:15" x14ac:dyDescent="0.3">
      <c r="A408" t="s">
        <v>551</v>
      </c>
      <c r="B408" s="1">
        <v>46168</v>
      </c>
      <c r="C408" t="s">
        <v>137</v>
      </c>
      <c r="D408" t="s">
        <v>13</v>
      </c>
      <c r="E408" t="s">
        <v>14</v>
      </c>
      <c r="F408">
        <v>1</v>
      </c>
      <c r="G408">
        <v>499</v>
      </c>
      <c r="H408">
        <v>0.05</v>
      </c>
      <c r="I408" t="s">
        <v>40</v>
      </c>
      <c r="J408" t="s">
        <v>16</v>
      </c>
      <c r="K408" t="s">
        <v>50</v>
      </c>
      <c r="L408">
        <v>24.950000000000045</v>
      </c>
      <c r="M408">
        <v>499</v>
      </c>
      <c r="N408">
        <v>474.04999999999995</v>
      </c>
      <c r="O408">
        <v>0</v>
      </c>
    </row>
    <row r="409" spans="1:15" x14ac:dyDescent="0.3">
      <c r="A409" t="s">
        <v>552</v>
      </c>
      <c r="B409" s="1">
        <v>46169</v>
      </c>
      <c r="C409" t="s">
        <v>159</v>
      </c>
      <c r="D409" t="s">
        <v>29</v>
      </c>
      <c r="E409" t="s">
        <v>122</v>
      </c>
      <c r="F409">
        <v>3</v>
      </c>
      <c r="G409">
        <v>249</v>
      </c>
      <c r="H409">
        <v>0.15</v>
      </c>
      <c r="I409" t="s">
        <v>36</v>
      </c>
      <c r="J409" t="s">
        <v>58</v>
      </c>
      <c r="K409" t="s">
        <v>17</v>
      </c>
      <c r="L409">
        <v>112.05000000000007</v>
      </c>
      <c r="M409">
        <v>747</v>
      </c>
      <c r="N409">
        <v>634.94999999999993</v>
      </c>
      <c r="O409">
        <v>634.94999999999993</v>
      </c>
    </row>
    <row r="410" spans="1:15" x14ac:dyDescent="0.3">
      <c r="A410" t="s">
        <v>553</v>
      </c>
      <c r="B410" s="1">
        <v>46169</v>
      </c>
      <c r="C410" t="s">
        <v>285</v>
      </c>
      <c r="D410" t="s">
        <v>34</v>
      </c>
      <c r="E410" t="s">
        <v>53</v>
      </c>
      <c r="F410">
        <v>2</v>
      </c>
      <c r="G410">
        <v>899</v>
      </c>
      <c r="H410">
        <v>0.05</v>
      </c>
      <c r="I410" t="s">
        <v>15</v>
      </c>
      <c r="J410" t="s">
        <v>47</v>
      </c>
      <c r="K410" t="s">
        <v>17</v>
      </c>
      <c r="L410">
        <v>89.900000000000091</v>
      </c>
      <c r="M410">
        <v>1798</v>
      </c>
      <c r="N410">
        <v>1708.1</v>
      </c>
      <c r="O410">
        <v>1708.1</v>
      </c>
    </row>
    <row r="411" spans="1:15" x14ac:dyDescent="0.3">
      <c r="A411" t="s">
        <v>554</v>
      </c>
      <c r="B411" s="1">
        <v>46170</v>
      </c>
      <c r="C411" t="s">
        <v>44</v>
      </c>
      <c r="D411" t="s">
        <v>34</v>
      </c>
      <c r="E411" t="s">
        <v>35</v>
      </c>
      <c r="F411">
        <v>1</v>
      </c>
      <c r="G411">
        <v>6499</v>
      </c>
      <c r="H411">
        <v>0.15</v>
      </c>
      <c r="I411" t="s">
        <v>15</v>
      </c>
      <c r="J411" t="s">
        <v>23</v>
      </c>
      <c r="K411" t="s">
        <v>17</v>
      </c>
      <c r="L411">
        <v>974.85000000000036</v>
      </c>
      <c r="M411">
        <v>6499</v>
      </c>
      <c r="N411">
        <v>5524.15</v>
      </c>
      <c r="O411">
        <v>5524.15</v>
      </c>
    </row>
    <row r="412" spans="1:15" x14ac:dyDescent="0.3">
      <c r="A412" t="s">
        <v>555</v>
      </c>
      <c r="B412" s="1">
        <v>46170</v>
      </c>
      <c r="C412" t="s">
        <v>205</v>
      </c>
      <c r="D412" t="s">
        <v>29</v>
      </c>
      <c r="E412" t="s">
        <v>46</v>
      </c>
      <c r="F412">
        <v>1</v>
      </c>
      <c r="G412">
        <v>199</v>
      </c>
      <c r="H412">
        <v>0.05</v>
      </c>
      <c r="I412" t="s">
        <v>15</v>
      </c>
      <c r="J412" t="s">
        <v>31</v>
      </c>
      <c r="K412" t="s">
        <v>17</v>
      </c>
      <c r="L412">
        <v>9.9500000000000171</v>
      </c>
      <c r="M412">
        <v>199</v>
      </c>
      <c r="N412">
        <v>189.04999999999998</v>
      </c>
      <c r="O412">
        <v>189.04999999999998</v>
      </c>
    </row>
    <row r="413" spans="1:15" x14ac:dyDescent="0.3">
      <c r="A413" t="s">
        <v>556</v>
      </c>
      <c r="B413" s="1">
        <v>46171</v>
      </c>
      <c r="C413" t="s">
        <v>12</v>
      </c>
      <c r="D413" t="s">
        <v>13</v>
      </c>
      <c r="E413" t="s">
        <v>93</v>
      </c>
      <c r="F413">
        <v>3</v>
      </c>
      <c r="G413">
        <v>1499</v>
      </c>
      <c r="H413">
        <v>0.15</v>
      </c>
      <c r="I413" t="s">
        <v>36</v>
      </c>
      <c r="J413" t="s">
        <v>47</v>
      </c>
      <c r="K413" t="s">
        <v>17</v>
      </c>
      <c r="L413">
        <v>674.55000000000018</v>
      </c>
      <c r="M413">
        <v>4497</v>
      </c>
      <c r="N413">
        <v>3822.45</v>
      </c>
      <c r="O413">
        <v>3822.45</v>
      </c>
    </row>
    <row r="414" spans="1:15" x14ac:dyDescent="0.3">
      <c r="A414" t="s">
        <v>557</v>
      </c>
      <c r="B414" s="1">
        <v>46172</v>
      </c>
      <c r="C414" t="s">
        <v>217</v>
      </c>
      <c r="D414" t="s">
        <v>20</v>
      </c>
      <c r="E414" t="s">
        <v>66</v>
      </c>
      <c r="F414">
        <v>3</v>
      </c>
      <c r="G414">
        <v>799</v>
      </c>
      <c r="H414">
        <v>0.2</v>
      </c>
      <c r="I414" t="s">
        <v>36</v>
      </c>
      <c r="J414" t="s">
        <v>31</v>
      </c>
      <c r="K414" t="s">
        <v>17</v>
      </c>
      <c r="L414">
        <v>479.39999999999986</v>
      </c>
      <c r="M414">
        <v>2397</v>
      </c>
      <c r="N414">
        <v>1917.6000000000001</v>
      </c>
      <c r="O414">
        <v>1917.6000000000001</v>
      </c>
    </row>
    <row r="415" spans="1:15" x14ac:dyDescent="0.3">
      <c r="A415" t="s">
        <v>558</v>
      </c>
      <c r="B415" s="1">
        <v>46172</v>
      </c>
      <c r="C415" t="s">
        <v>12</v>
      </c>
      <c r="D415" t="s">
        <v>20</v>
      </c>
      <c r="E415" t="s">
        <v>82</v>
      </c>
      <c r="F415">
        <v>4</v>
      </c>
      <c r="G415">
        <v>2299</v>
      </c>
      <c r="H415">
        <v>0.1</v>
      </c>
      <c r="I415" t="s">
        <v>36</v>
      </c>
      <c r="J415" t="s">
        <v>58</v>
      </c>
      <c r="K415" t="s">
        <v>24</v>
      </c>
      <c r="L415">
        <v>919.60000000000036</v>
      </c>
      <c r="M415">
        <v>9196</v>
      </c>
      <c r="N415">
        <v>8276.4</v>
      </c>
      <c r="O415">
        <v>0</v>
      </c>
    </row>
    <row r="416" spans="1:15" x14ac:dyDescent="0.3">
      <c r="A416" t="s">
        <v>559</v>
      </c>
      <c r="B416" s="1">
        <v>46172</v>
      </c>
      <c r="C416" t="s">
        <v>166</v>
      </c>
      <c r="D416" t="s">
        <v>20</v>
      </c>
      <c r="E416" t="s">
        <v>21</v>
      </c>
      <c r="F416">
        <v>1</v>
      </c>
      <c r="G416">
        <v>1299</v>
      </c>
      <c r="H416">
        <v>0.15</v>
      </c>
      <c r="I416" t="s">
        <v>36</v>
      </c>
      <c r="J416" t="s">
        <v>47</v>
      </c>
      <c r="K416" t="s">
        <v>24</v>
      </c>
      <c r="L416">
        <v>194.85000000000014</v>
      </c>
      <c r="M416">
        <v>1299</v>
      </c>
      <c r="N416">
        <v>1104.1499999999999</v>
      </c>
      <c r="O416">
        <v>0</v>
      </c>
    </row>
    <row r="417" spans="1:15" x14ac:dyDescent="0.3">
      <c r="A417" t="s">
        <v>560</v>
      </c>
      <c r="B417" s="1">
        <v>46173</v>
      </c>
      <c r="C417" t="s">
        <v>375</v>
      </c>
      <c r="D417" t="s">
        <v>13</v>
      </c>
      <c r="E417" t="s">
        <v>14</v>
      </c>
      <c r="F417">
        <v>1</v>
      </c>
      <c r="G417">
        <v>499</v>
      </c>
      <c r="H417">
        <v>0</v>
      </c>
      <c r="I417" t="s">
        <v>36</v>
      </c>
      <c r="J417" t="s">
        <v>47</v>
      </c>
      <c r="K417" t="s">
        <v>50</v>
      </c>
      <c r="L417">
        <v>0</v>
      </c>
      <c r="M417">
        <v>499</v>
      </c>
      <c r="N417">
        <v>499</v>
      </c>
      <c r="O417">
        <v>0</v>
      </c>
    </row>
    <row r="418" spans="1:15" x14ac:dyDescent="0.3">
      <c r="A418" t="s">
        <v>561</v>
      </c>
      <c r="B418" s="1">
        <v>46173</v>
      </c>
      <c r="C418" t="s">
        <v>434</v>
      </c>
      <c r="D418" t="s">
        <v>13</v>
      </c>
      <c r="E418" t="s">
        <v>14</v>
      </c>
      <c r="F418">
        <v>1</v>
      </c>
      <c r="G418">
        <v>499</v>
      </c>
      <c r="H418">
        <v>0.05</v>
      </c>
      <c r="I418" t="s">
        <v>22</v>
      </c>
      <c r="J418" t="s">
        <v>47</v>
      </c>
      <c r="K418" t="s">
        <v>17</v>
      </c>
      <c r="L418">
        <v>24.950000000000045</v>
      </c>
      <c r="M418">
        <v>499</v>
      </c>
      <c r="N418">
        <v>474.04999999999995</v>
      </c>
      <c r="O418">
        <v>474.04999999999995</v>
      </c>
    </row>
    <row r="419" spans="1:15" x14ac:dyDescent="0.3">
      <c r="A419" t="s">
        <v>562</v>
      </c>
      <c r="B419" s="1">
        <v>46173</v>
      </c>
      <c r="C419" t="s">
        <v>55</v>
      </c>
      <c r="D419" t="s">
        <v>29</v>
      </c>
      <c r="E419" t="s">
        <v>85</v>
      </c>
      <c r="F419">
        <v>1</v>
      </c>
      <c r="G419">
        <v>299</v>
      </c>
      <c r="H419">
        <v>0.15</v>
      </c>
      <c r="I419" t="s">
        <v>15</v>
      </c>
      <c r="J419" t="s">
        <v>47</v>
      </c>
      <c r="K419" t="s">
        <v>24</v>
      </c>
      <c r="L419">
        <v>44.849999999999994</v>
      </c>
      <c r="M419">
        <v>299</v>
      </c>
      <c r="N419">
        <v>254.15</v>
      </c>
      <c r="O419">
        <v>0</v>
      </c>
    </row>
    <row r="420" spans="1:15" x14ac:dyDescent="0.3">
      <c r="A420" t="s">
        <v>563</v>
      </c>
      <c r="B420" s="1">
        <v>46173</v>
      </c>
      <c r="C420" t="s">
        <v>164</v>
      </c>
      <c r="D420" t="s">
        <v>20</v>
      </c>
      <c r="E420" t="s">
        <v>82</v>
      </c>
      <c r="F420">
        <v>3</v>
      </c>
      <c r="G420">
        <v>2299</v>
      </c>
      <c r="H420">
        <v>0.2</v>
      </c>
      <c r="I420" t="s">
        <v>22</v>
      </c>
      <c r="J420" t="s">
        <v>23</v>
      </c>
      <c r="K420" t="s">
        <v>17</v>
      </c>
      <c r="L420">
        <v>1379.3999999999996</v>
      </c>
      <c r="M420">
        <v>6897</v>
      </c>
      <c r="N420">
        <v>5517.6</v>
      </c>
      <c r="O420">
        <v>5517.6</v>
      </c>
    </row>
    <row r="421" spans="1:15" x14ac:dyDescent="0.3">
      <c r="A421" t="s">
        <v>564</v>
      </c>
      <c r="B421" s="1">
        <v>46174</v>
      </c>
      <c r="C421" t="s">
        <v>57</v>
      </c>
      <c r="D421" t="s">
        <v>20</v>
      </c>
      <c r="E421" t="s">
        <v>82</v>
      </c>
      <c r="F421">
        <v>1</v>
      </c>
      <c r="G421">
        <v>2299</v>
      </c>
      <c r="H421">
        <v>0.05</v>
      </c>
      <c r="I421" t="s">
        <v>22</v>
      </c>
      <c r="J421" t="s">
        <v>23</v>
      </c>
      <c r="K421" t="s">
        <v>17</v>
      </c>
      <c r="L421">
        <v>114.95000000000027</v>
      </c>
      <c r="M421">
        <v>2299</v>
      </c>
      <c r="N421">
        <v>2184.0499999999997</v>
      </c>
      <c r="O421">
        <v>2184.0499999999997</v>
      </c>
    </row>
    <row r="422" spans="1:15" x14ac:dyDescent="0.3">
      <c r="A422" t="s">
        <v>565</v>
      </c>
      <c r="B422" s="1">
        <v>46175</v>
      </c>
      <c r="C422" t="s">
        <v>60</v>
      </c>
      <c r="D422" t="s">
        <v>20</v>
      </c>
      <c r="E422" t="s">
        <v>98</v>
      </c>
      <c r="F422">
        <v>3</v>
      </c>
      <c r="G422">
        <v>999</v>
      </c>
      <c r="H422">
        <v>0.1</v>
      </c>
      <c r="I422" t="s">
        <v>15</v>
      </c>
      <c r="J422" t="s">
        <v>47</v>
      </c>
      <c r="K422" t="s">
        <v>17</v>
      </c>
      <c r="L422">
        <v>299.69999999999982</v>
      </c>
      <c r="M422">
        <v>2997</v>
      </c>
      <c r="N422">
        <v>2697.3</v>
      </c>
      <c r="O422">
        <v>2697.3</v>
      </c>
    </row>
    <row r="423" spans="1:15" x14ac:dyDescent="0.3">
      <c r="A423" t="s">
        <v>566</v>
      </c>
      <c r="B423" s="1">
        <v>46175</v>
      </c>
      <c r="C423" t="s">
        <v>388</v>
      </c>
      <c r="D423" t="s">
        <v>34</v>
      </c>
      <c r="E423" t="s">
        <v>39</v>
      </c>
      <c r="F423">
        <v>3</v>
      </c>
      <c r="G423">
        <v>499</v>
      </c>
      <c r="H423">
        <v>0.05</v>
      </c>
      <c r="I423" t="s">
        <v>15</v>
      </c>
      <c r="J423" t="s">
        <v>16</v>
      </c>
      <c r="K423" t="s">
        <v>17</v>
      </c>
      <c r="L423">
        <v>74.850000000000136</v>
      </c>
      <c r="M423">
        <v>1497</v>
      </c>
      <c r="N423">
        <v>1422.1499999999999</v>
      </c>
      <c r="O423">
        <v>1422.1499999999999</v>
      </c>
    </row>
    <row r="424" spans="1:15" x14ac:dyDescent="0.3">
      <c r="A424" t="s">
        <v>567</v>
      </c>
      <c r="B424" s="1">
        <v>46175</v>
      </c>
      <c r="C424" t="s">
        <v>57</v>
      </c>
      <c r="D424" t="s">
        <v>20</v>
      </c>
      <c r="E424" t="s">
        <v>21</v>
      </c>
      <c r="F424">
        <v>1</v>
      </c>
      <c r="G424">
        <v>1299</v>
      </c>
      <c r="H424">
        <v>0.2</v>
      </c>
      <c r="I424" t="s">
        <v>40</v>
      </c>
      <c r="J424" t="s">
        <v>23</v>
      </c>
      <c r="K424" t="s">
        <v>17</v>
      </c>
      <c r="L424">
        <v>259.79999999999995</v>
      </c>
      <c r="M424">
        <v>1299</v>
      </c>
      <c r="N424">
        <v>1039.2</v>
      </c>
      <c r="O424">
        <v>1039.2</v>
      </c>
    </row>
    <row r="425" spans="1:15" x14ac:dyDescent="0.3">
      <c r="A425" t="s">
        <v>568</v>
      </c>
      <c r="B425" s="1">
        <v>46175</v>
      </c>
      <c r="C425" t="s">
        <v>161</v>
      </c>
      <c r="D425" t="s">
        <v>29</v>
      </c>
      <c r="E425" t="s">
        <v>46</v>
      </c>
      <c r="F425">
        <v>1</v>
      </c>
      <c r="G425">
        <v>199</v>
      </c>
      <c r="H425">
        <v>0.1</v>
      </c>
      <c r="I425" t="s">
        <v>36</v>
      </c>
      <c r="J425" t="s">
        <v>31</v>
      </c>
      <c r="K425" t="s">
        <v>17</v>
      </c>
      <c r="L425">
        <v>19.900000000000006</v>
      </c>
      <c r="M425">
        <v>199</v>
      </c>
      <c r="N425">
        <v>179.1</v>
      </c>
      <c r="O425">
        <v>179.1</v>
      </c>
    </row>
    <row r="426" spans="1:15" x14ac:dyDescent="0.3">
      <c r="A426" t="s">
        <v>569</v>
      </c>
      <c r="B426" s="1">
        <v>46176</v>
      </c>
      <c r="C426" t="s">
        <v>512</v>
      </c>
      <c r="D426" t="s">
        <v>13</v>
      </c>
      <c r="E426" t="s">
        <v>69</v>
      </c>
      <c r="F426">
        <v>3</v>
      </c>
      <c r="G426">
        <v>299</v>
      </c>
      <c r="H426">
        <v>0.1</v>
      </c>
      <c r="I426" t="s">
        <v>36</v>
      </c>
      <c r="J426" t="s">
        <v>47</v>
      </c>
      <c r="K426" t="s">
        <v>17</v>
      </c>
      <c r="L426">
        <v>89.699999999999932</v>
      </c>
      <c r="M426">
        <v>897</v>
      </c>
      <c r="N426">
        <v>807.30000000000007</v>
      </c>
      <c r="O426">
        <v>807.30000000000007</v>
      </c>
    </row>
    <row r="427" spans="1:15" x14ac:dyDescent="0.3">
      <c r="A427" t="s">
        <v>570</v>
      </c>
      <c r="B427" s="1">
        <v>46176</v>
      </c>
      <c r="C427" t="s">
        <v>97</v>
      </c>
      <c r="D427" t="s">
        <v>29</v>
      </c>
      <c r="E427" t="s">
        <v>30</v>
      </c>
      <c r="F427">
        <v>2</v>
      </c>
      <c r="G427">
        <v>349</v>
      </c>
      <c r="H427">
        <v>0.2</v>
      </c>
      <c r="I427" t="s">
        <v>22</v>
      </c>
      <c r="J427" t="s">
        <v>23</v>
      </c>
      <c r="K427" t="s">
        <v>17</v>
      </c>
      <c r="L427">
        <v>139.60000000000002</v>
      </c>
      <c r="M427">
        <v>698</v>
      </c>
      <c r="N427">
        <v>558.4</v>
      </c>
      <c r="O427">
        <v>558.4</v>
      </c>
    </row>
    <row r="428" spans="1:15" x14ac:dyDescent="0.3">
      <c r="A428" t="s">
        <v>571</v>
      </c>
      <c r="B428" s="1">
        <v>46177</v>
      </c>
      <c r="C428" t="s">
        <v>182</v>
      </c>
      <c r="D428" t="s">
        <v>34</v>
      </c>
      <c r="E428" t="s">
        <v>39</v>
      </c>
      <c r="F428">
        <v>1</v>
      </c>
      <c r="G428">
        <v>499</v>
      </c>
      <c r="H428">
        <v>0.15</v>
      </c>
      <c r="I428" t="s">
        <v>22</v>
      </c>
      <c r="J428" t="s">
        <v>16</v>
      </c>
      <c r="K428" t="s">
        <v>17</v>
      </c>
      <c r="L428">
        <v>74.850000000000023</v>
      </c>
      <c r="M428">
        <v>499</v>
      </c>
      <c r="N428">
        <v>424.15</v>
      </c>
      <c r="O428">
        <v>424.15</v>
      </c>
    </row>
    <row r="429" spans="1:15" x14ac:dyDescent="0.3">
      <c r="A429" t="s">
        <v>572</v>
      </c>
      <c r="B429" s="1">
        <v>46177</v>
      </c>
      <c r="C429" t="s">
        <v>349</v>
      </c>
      <c r="D429" t="s">
        <v>34</v>
      </c>
      <c r="E429" t="s">
        <v>35</v>
      </c>
      <c r="F429">
        <v>2</v>
      </c>
      <c r="G429">
        <v>6499</v>
      </c>
      <c r="H429">
        <v>0.05</v>
      </c>
      <c r="I429" t="s">
        <v>36</v>
      </c>
      <c r="J429" t="s">
        <v>47</v>
      </c>
      <c r="K429" t="s">
        <v>17</v>
      </c>
      <c r="L429">
        <v>649.90000000000146</v>
      </c>
      <c r="M429">
        <v>12998</v>
      </c>
      <c r="N429">
        <v>12348.099999999999</v>
      </c>
      <c r="O429">
        <v>12348.099999999999</v>
      </c>
    </row>
    <row r="430" spans="1:15" x14ac:dyDescent="0.3">
      <c r="A430" t="s">
        <v>573</v>
      </c>
      <c r="B430" s="1">
        <v>46177</v>
      </c>
      <c r="C430" t="s">
        <v>275</v>
      </c>
      <c r="D430" t="s">
        <v>20</v>
      </c>
      <c r="E430" t="s">
        <v>66</v>
      </c>
      <c r="F430">
        <v>2</v>
      </c>
      <c r="G430">
        <v>799</v>
      </c>
      <c r="H430">
        <v>0</v>
      </c>
      <c r="I430" t="s">
        <v>22</v>
      </c>
      <c r="J430" t="s">
        <v>16</v>
      </c>
      <c r="K430" t="s">
        <v>17</v>
      </c>
      <c r="L430">
        <v>0</v>
      </c>
      <c r="M430">
        <v>1598</v>
      </c>
      <c r="N430">
        <v>1598</v>
      </c>
      <c r="O430">
        <v>1598</v>
      </c>
    </row>
    <row r="431" spans="1:15" x14ac:dyDescent="0.3">
      <c r="A431" t="s">
        <v>574</v>
      </c>
      <c r="B431" s="1">
        <v>46178</v>
      </c>
      <c r="C431" t="s">
        <v>42</v>
      </c>
      <c r="D431" t="s">
        <v>34</v>
      </c>
      <c r="E431" t="s">
        <v>53</v>
      </c>
      <c r="F431">
        <v>1</v>
      </c>
      <c r="G431">
        <v>899</v>
      </c>
      <c r="H431">
        <v>0</v>
      </c>
      <c r="I431" t="s">
        <v>36</v>
      </c>
      <c r="J431" t="s">
        <v>23</v>
      </c>
      <c r="K431" t="s">
        <v>17</v>
      </c>
      <c r="L431">
        <v>0</v>
      </c>
      <c r="M431">
        <v>899</v>
      </c>
      <c r="N431">
        <v>899</v>
      </c>
      <c r="O431">
        <v>899</v>
      </c>
    </row>
    <row r="432" spans="1:15" x14ac:dyDescent="0.3">
      <c r="A432" t="s">
        <v>575</v>
      </c>
      <c r="B432" s="1">
        <v>46178</v>
      </c>
      <c r="C432" t="s">
        <v>117</v>
      </c>
      <c r="D432" t="s">
        <v>20</v>
      </c>
      <c r="E432" t="s">
        <v>72</v>
      </c>
      <c r="F432">
        <v>1</v>
      </c>
      <c r="G432">
        <v>1799</v>
      </c>
      <c r="H432">
        <v>0.2</v>
      </c>
      <c r="I432" t="s">
        <v>22</v>
      </c>
      <c r="J432" t="s">
        <v>31</v>
      </c>
      <c r="K432" t="s">
        <v>24</v>
      </c>
      <c r="L432">
        <v>359.79999999999995</v>
      </c>
      <c r="M432">
        <v>1799</v>
      </c>
      <c r="N432">
        <v>1439.2</v>
      </c>
      <c r="O432">
        <v>0</v>
      </c>
    </row>
    <row r="433" spans="1:15" x14ac:dyDescent="0.3">
      <c r="A433" t="s">
        <v>576</v>
      </c>
      <c r="B433" s="1">
        <v>46178</v>
      </c>
      <c r="C433" t="s">
        <v>146</v>
      </c>
      <c r="D433" t="s">
        <v>20</v>
      </c>
      <c r="E433" t="s">
        <v>21</v>
      </c>
      <c r="F433">
        <v>1</v>
      </c>
      <c r="G433">
        <v>1299</v>
      </c>
      <c r="H433">
        <v>0.15</v>
      </c>
      <c r="I433" t="s">
        <v>15</v>
      </c>
      <c r="J433" t="s">
        <v>16</v>
      </c>
      <c r="K433" t="s">
        <v>24</v>
      </c>
      <c r="L433">
        <v>194.85000000000014</v>
      </c>
      <c r="M433">
        <v>1299</v>
      </c>
      <c r="N433">
        <v>1104.1499999999999</v>
      </c>
      <c r="O433">
        <v>0</v>
      </c>
    </row>
    <row r="434" spans="1:15" x14ac:dyDescent="0.3">
      <c r="A434" t="s">
        <v>577</v>
      </c>
      <c r="B434" s="1">
        <v>46178</v>
      </c>
      <c r="C434" t="s">
        <v>124</v>
      </c>
      <c r="D434" t="s">
        <v>34</v>
      </c>
      <c r="E434" t="s">
        <v>39</v>
      </c>
      <c r="F434">
        <v>1</v>
      </c>
      <c r="G434">
        <v>499</v>
      </c>
      <c r="H434">
        <v>0.15</v>
      </c>
      <c r="I434" t="s">
        <v>22</v>
      </c>
      <c r="J434" t="s">
        <v>31</v>
      </c>
      <c r="K434" t="s">
        <v>17</v>
      </c>
      <c r="L434">
        <v>74.850000000000023</v>
      </c>
      <c r="M434">
        <v>499</v>
      </c>
      <c r="N434">
        <v>424.15</v>
      </c>
      <c r="O434">
        <v>424.15</v>
      </c>
    </row>
    <row r="435" spans="1:15" x14ac:dyDescent="0.3">
      <c r="A435" t="s">
        <v>578</v>
      </c>
      <c r="B435" s="1">
        <v>46179</v>
      </c>
      <c r="C435" t="s">
        <v>130</v>
      </c>
      <c r="D435" t="s">
        <v>29</v>
      </c>
      <c r="E435" t="s">
        <v>77</v>
      </c>
      <c r="F435">
        <v>1</v>
      </c>
      <c r="G435">
        <v>399</v>
      </c>
      <c r="H435">
        <v>0.15</v>
      </c>
      <c r="I435" t="s">
        <v>22</v>
      </c>
      <c r="J435" t="s">
        <v>58</v>
      </c>
      <c r="K435" t="s">
        <v>17</v>
      </c>
      <c r="L435">
        <v>59.850000000000023</v>
      </c>
      <c r="M435">
        <v>399</v>
      </c>
      <c r="N435">
        <v>339.15</v>
      </c>
      <c r="O435">
        <v>339.15</v>
      </c>
    </row>
    <row r="436" spans="1:15" x14ac:dyDescent="0.3">
      <c r="A436" t="s">
        <v>579</v>
      </c>
      <c r="B436" s="1">
        <v>46179</v>
      </c>
      <c r="C436" t="s">
        <v>148</v>
      </c>
      <c r="D436" t="s">
        <v>29</v>
      </c>
      <c r="E436" t="s">
        <v>85</v>
      </c>
      <c r="F436">
        <v>1</v>
      </c>
      <c r="G436">
        <v>299</v>
      </c>
      <c r="H436">
        <v>0.1</v>
      </c>
      <c r="I436" t="s">
        <v>36</v>
      </c>
      <c r="J436" t="s">
        <v>31</v>
      </c>
      <c r="K436" t="s">
        <v>17</v>
      </c>
      <c r="L436">
        <v>29.899999999999977</v>
      </c>
      <c r="M436">
        <v>299</v>
      </c>
      <c r="N436">
        <v>269.10000000000002</v>
      </c>
      <c r="O436">
        <v>269.10000000000002</v>
      </c>
    </row>
    <row r="437" spans="1:15" x14ac:dyDescent="0.3">
      <c r="A437" t="s">
        <v>580</v>
      </c>
      <c r="B437" s="1">
        <v>46179</v>
      </c>
      <c r="C437" t="s">
        <v>512</v>
      </c>
      <c r="D437" t="s">
        <v>20</v>
      </c>
      <c r="E437" t="s">
        <v>82</v>
      </c>
      <c r="F437">
        <v>5</v>
      </c>
      <c r="G437">
        <v>2299</v>
      </c>
      <c r="H437">
        <v>0.15</v>
      </c>
      <c r="I437" t="s">
        <v>22</v>
      </c>
      <c r="J437" t="s">
        <v>47</v>
      </c>
      <c r="K437" t="s">
        <v>24</v>
      </c>
      <c r="L437">
        <v>1724.25</v>
      </c>
      <c r="M437">
        <v>11495</v>
      </c>
      <c r="N437">
        <v>9770.75</v>
      </c>
      <c r="O437">
        <v>0</v>
      </c>
    </row>
    <row r="438" spans="1:15" x14ac:dyDescent="0.3">
      <c r="A438" t="s">
        <v>581</v>
      </c>
      <c r="B438" s="1">
        <v>46179</v>
      </c>
      <c r="C438" t="s">
        <v>246</v>
      </c>
      <c r="D438" t="s">
        <v>20</v>
      </c>
      <c r="E438" t="s">
        <v>21</v>
      </c>
      <c r="F438">
        <v>1</v>
      </c>
      <c r="G438">
        <v>1299</v>
      </c>
      <c r="H438">
        <v>0.05</v>
      </c>
      <c r="I438" t="s">
        <v>40</v>
      </c>
      <c r="J438" t="s">
        <v>23</v>
      </c>
      <c r="K438" t="s">
        <v>50</v>
      </c>
      <c r="L438">
        <v>64.950000000000045</v>
      </c>
      <c r="M438">
        <v>1299</v>
      </c>
      <c r="N438">
        <v>1234.05</v>
      </c>
      <c r="O438">
        <v>0</v>
      </c>
    </row>
    <row r="439" spans="1:15" x14ac:dyDescent="0.3">
      <c r="A439" t="s">
        <v>582</v>
      </c>
      <c r="B439" s="1">
        <v>46180</v>
      </c>
      <c r="C439" t="s">
        <v>230</v>
      </c>
      <c r="D439" t="s">
        <v>34</v>
      </c>
      <c r="E439" t="s">
        <v>39</v>
      </c>
      <c r="F439">
        <v>1</v>
      </c>
      <c r="G439">
        <v>499</v>
      </c>
      <c r="H439">
        <v>0.1</v>
      </c>
      <c r="I439" t="s">
        <v>15</v>
      </c>
      <c r="J439" t="s">
        <v>31</v>
      </c>
      <c r="K439" t="s">
        <v>17</v>
      </c>
      <c r="L439">
        <v>49.899999999999977</v>
      </c>
      <c r="M439">
        <v>499</v>
      </c>
      <c r="N439">
        <v>449.1</v>
      </c>
      <c r="O439">
        <v>449.1</v>
      </c>
    </row>
    <row r="440" spans="1:15" x14ac:dyDescent="0.3">
      <c r="A440" t="s">
        <v>583</v>
      </c>
      <c r="B440" s="1">
        <v>46180</v>
      </c>
      <c r="C440" t="s">
        <v>97</v>
      </c>
      <c r="D440" t="s">
        <v>13</v>
      </c>
      <c r="E440" t="s">
        <v>125</v>
      </c>
      <c r="F440">
        <v>1</v>
      </c>
      <c r="G440">
        <v>1199</v>
      </c>
      <c r="H440">
        <v>0</v>
      </c>
      <c r="I440" t="s">
        <v>40</v>
      </c>
      <c r="J440" t="s">
        <v>31</v>
      </c>
      <c r="K440" t="s">
        <v>17</v>
      </c>
      <c r="L440">
        <v>0</v>
      </c>
      <c r="M440">
        <v>1199</v>
      </c>
      <c r="N440">
        <v>1199</v>
      </c>
      <c r="O440">
        <v>1199</v>
      </c>
    </row>
    <row r="441" spans="1:15" x14ac:dyDescent="0.3">
      <c r="A441" t="s">
        <v>584</v>
      </c>
      <c r="B441" s="1">
        <v>46182</v>
      </c>
      <c r="C441" t="s">
        <v>220</v>
      </c>
      <c r="D441" t="s">
        <v>13</v>
      </c>
      <c r="E441" t="s">
        <v>93</v>
      </c>
      <c r="F441">
        <v>2</v>
      </c>
      <c r="G441">
        <v>1499</v>
      </c>
      <c r="H441">
        <v>0</v>
      </c>
      <c r="I441" t="s">
        <v>15</v>
      </c>
      <c r="J441" t="s">
        <v>47</v>
      </c>
      <c r="K441" t="s">
        <v>24</v>
      </c>
      <c r="L441">
        <v>0</v>
      </c>
      <c r="M441">
        <v>2998</v>
      </c>
      <c r="N441">
        <v>2998</v>
      </c>
      <c r="O441">
        <v>0</v>
      </c>
    </row>
    <row r="442" spans="1:15" x14ac:dyDescent="0.3">
      <c r="A442" t="s">
        <v>585</v>
      </c>
      <c r="B442" s="1">
        <v>46182</v>
      </c>
      <c r="C442" t="s">
        <v>105</v>
      </c>
      <c r="D442" t="s">
        <v>13</v>
      </c>
      <c r="E442" t="s">
        <v>14</v>
      </c>
      <c r="F442">
        <v>1</v>
      </c>
      <c r="G442">
        <v>499</v>
      </c>
      <c r="H442">
        <v>0.1</v>
      </c>
      <c r="I442" t="s">
        <v>40</v>
      </c>
      <c r="J442" t="s">
        <v>58</v>
      </c>
      <c r="K442" t="s">
        <v>17</v>
      </c>
      <c r="L442">
        <v>49.899999999999977</v>
      </c>
      <c r="M442">
        <v>499</v>
      </c>
      <c r="N442">
        <v>449.1</v>
      </c>
      <c r="O442">
        <v>449.1</v>
      </c>
    </row>
    <row r="443" spans="1:15" x14ac:dyDescent="0.3">
      <c r="A443" t="s">
        <v>586</v>
      </c>
      <c r="B443" s="1">
        <v>46183</v>
      </c>
      <c r="C443" t="s">
        <v>148</v>
      </c>
      <c r="D443" t="s">
        <v>29</v>
      </c>
      <c r="E443" t="s">
        <v>30</v>
      </c>
      <c r="F443">
        <v>2</v>
      </c>
      <c r="G443">
        <v>349</v>
      </c>
      <c r="H443">
        <v>0.15</v>
      </c>
      <c r="I443" t="s">
        <v>36</v>
      </c>
      <c r="J443" t="s">
        <v>16</v>
      </c>
      <c r="K443" t="s">
        <v>17</v>
      </c>
      <c r="L443">
        <v>104.70000000000005</v>
      </c>
      <c r="M443">
        <v>698</v>
      </c>
      <c r="N443">
        <v>593.29999999999995</v>
      </c>
      <c r="O443">
        <v>593.29999999999995</v>
      </c>
    </row>
    <row r="444" spans="1:15" x14ac:dyDescent="0.3">
      <c r="A444" t="s">
        <v>587</v>
      </c>
      <c r="B444" s="1">
        <v>46183</v>
      </c>
      <c r="C444" t="s">
        <v>121</v>
      </c>
      <c r="D444" t="s">
        <v>13</v>
      </c>
      <c r="E444" t="s">
        <v>125</v>
      </c>
      <c r="F444">
        <v>3</v>
      </c>
      <c r="G444">
        <v>1199</v>
      </c>
      <c r="H444">
        <v>0.15</v>
      </c>
      <c r="I444" t="s">
        <v>36</v>
      </c>
      <c r="J444" t="s">
        <v>23</v>
      </c>
      <c r="K444" t="s">
        <v>50</v>
      </c>
      <c r="L444">
        <v>539.55000000000018</v>
      </c>
      <c r="M444">
        <v>3597</v>
      </c>
      <c r="N444">
        <v>3057.45</v>
      </c>
      <c r="O444">
        <v>0</v>
      </c>
    </row>
    <row r="445" spans="1:15" x14ac:dyDescent="0.3">
      <c r="A445" t="s">
        <v>588</v>
      </c>
      <c r="B445" s="1">
        <v>46184</v>
      </c>
      <c r="C445" t="s">
        <v>141</v>
      </c>
      <c r="D445" t="s">
        <v>34</v>
      </c>
      <c r="E445" t="s">
        <v>35</v>
      </c>
      <c r="F445">
        <v>2</v>
      </c>
      <c r="G445">
        <v>6499</v>
      </c>
      <c r="H445">
        <v>0.15</v>
      </c>
      <c r="I445" t="s">
        <v>36</v>
      </c>
      <c r="J445" t="s">
        <v>31</v>
      </c>
      <c r="K445" t="s">
        <v>17</v>
      </c>
      <c r="L445">
        <v>1949.7000000000007</v>
      </c>
      <c r="M445">
        <v>12998</v>
      </c>
      <c r="N445">
        <v>11048.3</v>
      </c>
      <c r="O445">
        <v>11048.3</v>
      </c>
    </row>
    <row r="446" spans="1:15" x14ac:dyDescent="0.3">
      <c r="A446" t="s">
        <v>589</v>
      </c>
      <c r="B446" s="1">
        <v>46185</v>
      </c>
      <c r="C446" t="s">
        <v>414</v>
      </c>
      <c r="D446" t="s">
        <v>20</v>
      </c>
      <c r="E446" t="s">
        <v>72</v>
      </c>
      <c r="F446">
        <v>2</v>
      </c>
      <c r="G446">
        <v>1799</v>
      </c>
      <c r="H446">
        <v>0.15</v>
      </c>
      <c r="I446" t="s">
        <v>22</v>
      </c>
      <c r="J446" t="s">
        <v>47</v>
      </c>
      <c r="K446" t="s">
        <v>50</v>
      </c>
      <c r="L446">
        <v>539.70000000000027</v>
      </c>
      <c r="M446">
        <v>3598</v>
      </c>
      <c r="N446">
        <v>3058.2999999999997</v>
      </c>
      <c r="O446">
        <v>0</v>
      </c>
    </row>
    <row r="447" spans="1:15" x14ac:dyDescent="0.3">
      <c r="A447" t="s">
        <v>590</v>
      </c>
      <c r="B447" s="1">
        <v>46185</v>
      </c>
      <c r="C447" t="s">
        <v>135</v>
      </c>
      <c r="D447" t="s">
        <v>29</v>
      </c>
      <c r="E447" t="s">
        <v>46</v>
      </c>
      <c r="F447">
        <v>1</v>
      </c>
      <c r="G447">
        <v>199</v>
      </c>
      <c r="H447">
        <v>0.1</v>
      </c>
      <c r="I447" t="s">
        <v>15</v>
      </c>
      <c r="J447" t="s">
        <v>58</v>
      </c>
      <c r="K447" t="s">
        <v>50</v>
      </c>
      <c r="L447">
        <v>19.900000000000006</v>
      </c>
      <c r="M447">
        <v>199</v>
      </c>
      <c r="N447">
        <v>179.1</v>
      </c>
      <c r="O447">
        <v>0</v>
      </c>
    </row>
    <row r="448" spans="1:15" x14ac:dyDescent="0.3">
      <c r="A448" t="s">
        <v>591</v>
      </c>
      <c r="B448" s="1">
        <v>46186</v>
      </c>
      <c r="C448" t="s">
        <v>55</v>
      </c>
      <c r="D448" t="s">
        <v>20</v>
      </c>
      <c r="E448" t="s">
        <v>66</v>
      </c>
      <c r="F448">
        <v>2</v>
      </c>
      <c r="G448">
        <v>799</v>
      </c>
      <c r="H448">
        <v>0.05</v>
      </c>
      <c r="I448" t="s">
        <v>15</v>
      </c>
      <c r="J448" t="s">
        <v>58</v>
      </c>
      <c r="K448" t="s">
        <v>50</v>
      </c>
      <c r="L448">
        <v>79.900000000000091</v>
      </c>
      <c r="M448">
        <v>1598</v>
      </c>
      <c r="N448">
        <v>1518.1</v>
      </c>
      <c r="O448">
        <v>0</v>
      </c>
    </row>
    <row r="449" spans="1:15" x14ac:dyDescent="0.3">
      <c r="A449" t="s">
        <v>592</v>
      </c>
      <c r="B449" s="1">
        <v>46186</v>
      </c>
      <c r="C449" t="s">
        <v>205</v>
      </c>
      <c r="D449" t="s">
        <v>20</v>
      </c>
      <c r="E449" t="s">
        <v>66</v>
      </c>
      <c r="F449">
        <v>1</v>
      </c>
      <c r="G449">
        <v>799</v>
      </c>
      <c r="H449">
        <v>0.1</v>
      </c>
      <c r="I449" t="s">
        <v>15</v>
      </c>
      <c r="J449" t="s">
        <v>58</v>
      </c>
      <c r="K449" t="s">
        <v>24</v>
      </c>
      <c r="L449">
        <v>79.899999999999977</v>
      </c>
      <c r="M449">
        <v>799</v>
      </c>
      <c r="N449">
        <v>719.1</v>
      </c>
      <c r="O449">
        <v>0</v>
      </c>
    </row>
    <row r="450" spans="1:15" x14ac:dyDescent="0.3">
      <c r="A450" t="s">
        <v>593</v>
      </c>
      <c r="B450" s="1">
        <v>46187</v>
      </c>
      <c r="C450" t="s">
        <v>209</v>
      </c>
      <c r="D450" t="s">
        <v>20</v>
      </c>
      <c r="E450" t="s">
        <v>98</v>
      </c>
      <c r="F450">
        <v>1</v>
      </c>
      <c r="G450">
        <v>999</v>
      </c>
      <c r="H450">
        <v>0.05</v>
      </c>
      <c r="I450" t="s">
        <v>36</v>
      </c>
      <c r="J450" t="s">
        <v>23</v>
      </c>
      <c r="K450" t="s">
        <v>50</v>
      </c>
      <c r="L450">
        <v>49.950000000000045</v>
      </c>
      <c r="M450">
        <v>999</v>
      </c>
      <c r="N450">
        <v>949.05</v>
      </c>
      <c r="O450">
        <v>0</v>
      </c>
    </row>
    <row r="451" spans="1:15" x14ac:dyDescent="0.3">
      <c r="A451" t="s">
        <v>594</v>
      </c>
      <c r="B451" s="1">
        <v>46188</v>
      </c>
      <c r="C451" t="s">
        <v>130</v>
      </c>
      <c r="D451" t="s">
        <v>29</v>
      </c>
      <c r="E451" t="s">
        <v>30</v>
      </c>
      <c r="F451">
        <v>2</v>
      </c>
      <c r="G451">
        <v>349</v>
      </c>
      <c r="H451">
        <v>0</v>
      </c>
      <c r="I451" t="s">
        <v>22</v>
      </c>
      <c r="J451" t="s">
        <v>47</v>
      </c>
      <c r="K451" t="s">
        <v>17</v>
      </c>
      <c r="L451">
        <v>0</v>
      </c>
      <c r="M451">
        <v>698</v>
      </c>
      <c r="N451">
        <v>698</v>
      </c>
      <c r="O451">
        <v>698</v>
      </c>
    </row>
    <row r="452" spans="1:15" x14ac:dyDescent="0.3">
      <c r="A452" t="s">
        <v>595</v>
      </c>
      <c r="B452" s="1">
        <v>46188</v>
      </c>
      <c r="C452" t="s">
        <v>272</v>
      </c>
      <c r="D452" t="s">
        <v>34</v>
      </c>
      <c r="E452" t="s">
        <v>108</v>
      </c>
      <c r="F452">
        <v>1</v>
      </c>
      <c r="G452">
        <v>1599</v>
      </c>
      <c r="H452">
        <v>0</v>
      </c>
      <c r="I452" t="s">
        <v>22</v>
      </c>
      <c r="J452" t="s">
        <v>47</v>
      </c>
      <c r="K452" t="s">
        <v>17</v>
      </c>
      <c r="L452">
        <v>0</v>
      </c>
      <c r="M452">
        <v>1599</v>
      </c>
      <c r="N452">
        <v>1599</v>
      </c>
      <c r="O452">
        <v>1599</v>
      </c>
    </row>
    <row r="453" spans="1:15" x14ac:dyDescent="0.3">
      <c r="A453" t="s">
        <v>596</v>
      </c>
      <c r="B453" s="1">
        <v>46189</v>
      </c>
      <c r="C453" t="s">
        <v>189</v>
      </c>
      <c r="D453" t="s">
        <v>13</v>
      </c>
      <c r="E453" t="s">
        <v>93</v>
      </c>
      <c r="F453">
        <v>4</v>
      </c>
      <c r="G453">
        <v>1499</v>
      </c>
      <c r="H453">
        <v>0.05</v>
      </c>
      <c r="I453" t="s">
        <v>22</v>
      </c>
      <c r="J453" t="s">
        <v>23</v>
      </c>
      <c r="K453" t="s">
        <v>17</v>
      </c>
      <c r="L453">
        <v>299.80000000000018</v>
      </c>
      <c r="M453">
        <v>5996</v>
      </c>
      <c r="N453">
        <v>5696.2</v>
      </c>
      <c r="O453">
        <v>5696.2</v>
      </c>
    </row>
    <row r="454" spans="1:15" x14ac:dyDescent="0.3">
      <c r="A454" t="s">
        <v>597</v>
      </c>
      <c r="B454" s="1">
        <v>46189</v>
      </c>
      <c r="C454" t="s">
        <v>110</v>
      </c>
      <c r="D454" t="s">
        <v>13</v>
      </c>
      <c r="E454" t="s">
        <v>14</v>
      </c>
      <c r="F454">
        <v>2</v>
      </c>
      <c r="G454">
        <v>499</v>
      </c>
      <c r="H454">
        <v>0.05</v>
      </c>
      <c r="I454" t="s">
        <v>36</v>
      </c>
      <c r="J454" t="s">
        <v>31</v>
      </c>
      <c r="K454" t="s">
        <v>17</v>
      </c>
      <c r="L454">
        <v>49.900000000000091</v>
      </c>
      <c r="M454">
        <v>998</v>
      </c>
      <c r="N454">
        <v>948.09999999999991</v>
      </c>
      <c r="O454">
        <v>948.09999999999991</v>
      </c>
    </row>
    <row r="455" spans="1:15" x14ac:dyDescent="0.3">
      <c r="A455" t="s">
        <v>598</v>
      </c>
      <c r="B455" s="1">
        <v>46189</v>
      </c>
      <c r="C455" t="s">
        <v>166</v>
      </c>
      <c r="D455" t="s">
        <v>34</v>
      </c>
      <c r="E455" t="s">
        <v>108</v>
      </c>
      <c r="F455">
        <v>1</v>
      </c>
      <c r="G455">
        <v>1599</v>
      </c>
      <c r="H455">
        <v>0.2</v>
      </c>
      <c r="I455" t="s">
        <v>36</v>
      </c>
      <c r="J455" t="s">
        <v>31</v>
      </c>
      <c r="K455" t="s">
        <v>17</v>
      </c>
      <c r="L455">
        <v>319.79999999999995</v>
      </c>
      <c r="M455">
        <v>1599</v>
      </c>
      <c r="N455">
        <v>1279.2</v>
      </c>
      <c r="O455">
        <v>1279.2</v>
      </c>
    </row>
    <row r="456" spans="1:15" x14ac:dyDescent="0.3">
      <c r="A456" t="s">
        <v>599</v>
      </c>
      <c r="B456" s="1">
        <v>46190</v>
      </c>
      <c r="C456" t="s">
        <v>220</v>
      </c>
      <c r="D456" t="s">
        <v>34</v>
      </c>
      <c r="E456" t="s">
        <v>63</v>
      </c>
      <c r="F456">
        <v>1</v>
      </c>
      <c r="G456">
        <v>599</v>
      </c>
      <c r="H456">
        <v>0</v>
      </c>
      <c r="I456" t="s">
        <v>36</v>
      </c>
      <c r="J456" t="s">
        <v>47</v>
      </c>
      <c r="K456" t="s">
        <v>17</v>
      </c>
      <c r="L456">
        <v>0</v>
      </c>
      <c r="M456">
        <v>599</v>
      </c>
      <c r="N456">
        <v>599</v>
      </c>
      <c r="O456">
        <v>599</v>
      </c>
    </row>
    <row r="457" spans="1:15" x14ac:dyDescent="0.3">
      <c r="A457" t="s">
        <v>600</v>
      </c>
      <c r="B457" s="1">
        <v>46191</v>
      </c>
      <c r="C457" t="s">
        <v>81</v>
      </c>
      <c r="D457" t="s">
        <v>34</v>
      </c>
      <c r="E457" t="s">
        <v>53</v>
      </c>
      <c r="F457">
        <v>4</v>
      </c>
      <c r="G457">
        <v>899</v>
      </c>
      <c r="H457">
        <v>0.1</v>
      </c>
      <c r="I457" t="s">
        <v>40</v>
      </c>
      <c r="J457" t="s">
        <v>58</v>
      </c>
      <c r="K457" t="s">
        <v>24</v>
      </c>
      <c r="L457">
        <v>359.59999999999991</v>
      </c>
      <c r="M457">
        <v>3596</v>
      </c>
      <c r="N457">
        <v>3236.4</v>
      </c>
      <c r="O457">
        <v>0</v>
      </c>
    </row>
    <row r="458" spans="1:15" x14ac:dyDescent="0.3">
      <c r="A458" t="s">
        <v>601</v>
      </c>
      <c r="B458" s="1">
        <v>46192</v>
      </c>
      <c r="C458" t="s">
        <v>76</v>
      </c>
      <c r="D458" t="s">
        <v>13</v>
      </c>
      <c r="E458" t="s">
        <v>231</v>
      </c>
      <c r="F458">
        <v>1</v>
      </c>
      <c r="G458">
        <v>699</v>
      </c>
      <c r="H458">
        <v>0.05</v>
      </c>
      <c r="I458" t="s">
        <v>22</v>
      </c>
      <c r="J458" t="s">
        <v>58</v>
      </c>
      <c r="K458" t="s">
        <v>17</v>
      </c>
      <c r="L458">
        <v>34.950000000000045</v>
      </c>
      <c r="M458">
        <v>699</v>
      </c>
      <c r="N458">
        <v>664.05</v>
      </c>
      <c r="O458">
        <v>664.05</v>
      </c>
    </row>
    <row r="459" spans="1:15" x14ac:dyDescent="0.3">
      <c r="A459" t="s">
        <v>602</v>
      </c>
      <c r="B459" s="1">
        <v>46192</v>
      </c>
      <c r="C459" t="s">
        <v>173</v>
      </c>
      <c r="D459" t="s">
        <v>13</v>
      </c>
      <c r="E459" t="s">
        <v>125</v>
      </c>
      <c r="F459">
        <v>1</v>
      </c>
      <c r="G459">
        <v>1199</v>
      </c>
      <c r="H459">
        <v>0.05</v>
      </c>
      <c r="I459" t="s">
        <v>36</v>
      </c>
      <c r="J459" t="s">
        <v>16</v>
      </c>
      <c r="K459" t="s">
        <v>17</v>
      </c>
      <c r="L459">
        <v>59.950000000000045</v>
      </c>
      <c r="M459">
        <v>1199</v>
      </c>
      <c r="N459">
        <v>1139.05</v>
      </c>
      <c r="O459">
        <v>1139.05</v>
      </c>
    </row>
    <row r="460" spans="1:15" x14ac:dyDescent="0.3">
      <c r="A460" t="s">
        <v>603</v>
      </c>
      <c r="B460" s="1">
        <v>46193</v>
      </c>
      <c r="C460" t="s">
        <v>230</v>
      </c>
      <c r="D460" t="s">
        <v>29</v>
      </c>
      <c r="E460" t="s">
        <v>46</v>
      </c>
      <c r="F460">
        <v>1</v>
      </c>
      <c r="G460">
        <v>199</v>
      </c>
      <c r="H460">
        <v>0.1</v>
      </c>
      <c r="I460" t="s">
        <v>15</v>
      </c>
      <c r="J460" t="s">
        <v>58</v>
      </c>
      <c r="K460" t="s">
        <v>17</v>
      </c>
      <c r="L460">
        <v>19.900000000000006</v>
      </c>
      <c r="M460">
        <v>199</v>
      </c>
      <c r="N460">
        <v>179.1</v>
      </c>
      <c r="O460">
        <v>179.1</v>
      </c>
    </row>
    <row r="461" spans="1:15" x14ac:dyDescent="0.3">
      <c r="A461" t="s">
        <v>604</v>
      </c>
      <c r="B461" s="1">
        <v>46193</v>
      </c>
      <c r="C461" t="s">
        <v>339</v>
      </c>
      <c r="D461" t="s">
        <v>34</v>
      </c>
      <c r="E461" t="s">
        <v>53</v>
      </c>
      <c r="F461">
        <v>2</v>
      </c>
      <c r="G461">
        <v>899</v>
      </c>
      <c r="H461">
        <v>0.1</v>
      </c>
      <c r="I461" t="s">
        <v>36</v>
      </c>
      <c r="J461" t="s">
        <v>16</v>
      </c>
      <c r="K461" t="s">
        <v>17</v>
      </c>
      <c r="L461">
        <v>179.79999999999995</v>
      </c>
      <c r="M461">
        <v>1798</v>
      </c>
      <c r="N461">
        <v>1618.2</v>
      </c>
      <c r="O461">
        <v>1618.2</v>
      </c>
    </row>
    <row r="462" spans="1:15" x14ac:dyDescent="0.3">
      <c r="A462" t="s">
        <v>605</v>
      </c>
      <c r="B462" s="1">
        <v>46193</v>
      </c>
      <c r="C462" t="s">
        <v>87</v>
      </c>
      <c r="D462" t="s">
        <v>29</v>
      </c>
      <c r="E462" t="s">
        <v>122</v>
      </c>
      <c r="F462">
        <v>4</v>
      </c>
      <c r="G462">
        <v>249</v>
      </c>
      <c r="H462">
        <v>0.2</v>
      </c>
      <c r="I462" t="s">
        <v>15</v>
      </c>
      <c r="J462" t="s">
        <v>23</v>
      </c>
      <c r="K462" t="s">
        <v>17</v>
      </c>
      <c r="L462">
        <v>199.19999999999993</v>
      </c>
      <c r="M462">
        <v>996</v>
      </c>
      <c r="N462">
        <v>796.80000000000007</v>
      </c>
      <c r="O462">
        <v>796.80000000000007</v>
      </c>
    </row>
    <row r="463" spans="1:15" x14ac:dyDescent="0.3">
      <c r="A463" t="s">
        <v>606</v>
      </c>
      <c r="B463" s="1">
        <v>46193</v>
      </c>
      <c r="C463" t="s">
        <v>250</v>
      </c>
      <c r="D463" t="s">
        <v>29</v>
      </c>
      <c r="E463" t="s">
        <v>85</v>
      </c>
      <c r="F463">
        <v>4</v>
      </c>
      <c r="G463">
        <v>299</v>
      </c>
      <c r="H463">
        <v>0.15</v>
      </c>
      <c r="I463" t="s">
        <v>40</v>
      </c>
      <c r="J463" t="s">
        <v>23</v>
      </c>
      <c r="K463" t="s">
        <v>17</v>
      </c>
      <c r="L463">
        <v>179.39999999999998</v>
      </c>
      <c r="M463">
        <v>1196</v>
      </c>
      <c r="N463">
        <v>1016.6</v>
      </c>
      <c r="O463">
        <v>1016.6</v>
      </c>
    </row>
    <row r="464" spans="1:15" x14ac:dyDescent="0.3">
      <c r="A464" t="s">
        <v>607</v>
      </c>
      <c r="B464" s="1">
        <v>46193</v>
      </c>
      <c r="C464" t="s">
        <v>166</v>
      </c>
      <c r="D464" t="s">
        <v>34</v>
      </c>
      <c r="E464" t="s">
        <v>53</v>
      </c>
      <c r="F464">
        <v>2</v>
      </c>
      <c r="G464">
        <v>899</v>
      </c>
      <c r="H464">
        <v>0</v>
      </c>
      <c r="I464" t="s">
        <v>36</v>
      </c>
      <c r="J464" t="s">
        <v>47</v>
      </c>
      <c r="K464" t="s">
        <v>17</v>
      </c>
      <c r="L464">
        <v>0</v>
      </c>
      <c r="M464">
        <v>1798</v>
      </c>
      <c r="N464">
        <v>1798</v>
      </c>
      <c r="O464">
        <v>1798</v>
      </c>
    </row>
    <row r="465" spans="1:15" x14ac:dyDescent="0.3">
      <c r="A465" t="s">
        <v>608</v>
      </c>
      <c r="B465" s="1">
        <v>46193</v>
      </c>
      <c r="C465" t="s">
        <v>90</v>
      </c>
      <c r="D465" t="s">
        <v>34</v>
      </c>
      <c r="E465" t="s">
        <v>53</v>
      </c>
      <c r="F465">
        <v>1</v>
      </c>
      <c r="G465">
        <v>899</v>
      </c>
      <c r="H465">
        <v>0.1</v>
      </c>
      <c r="I465" t="s">
        <v>15</v>
      </c>
      <c r="J465" t="s">
        <v>31</v>
      </c>
      <c r="K465" t="s">
        <v>50</v>
      </c>
      <c r="L465">
        <v>89.899999999999977</v>
      </c>
      <c r="M465">
        <v>899</v>
      </c>
      <c r="N465">
        <v>809.1</v>
      </c>
      <c r="O465">
        <v>0</v>
      </c>
    </row>
    <row r="466" spans="1:15" x14ac:dyDescent="0.3">
      <c r="A466" t="s">
        <v>609</v>
      </c>
      <c r="B466" s="1">
        <v>46193</v>
      </c>
      <c r="C466" t="s">
        <v>296</v>
      </c>
      <c r="D466" t="s">
        <v>20</v>
      </c>
      <c r="E466" t="s">
        <v>72</v>
      </c>
      <c r="F466">
        <v>2</v>
      </c>
      <c r="G466">
        <v>1799</v>
      </c>
      <c r="H466">
        <v>0.2</v>
      </c>
      <c r="I466" t="s">
        <v>36</v>
      </c>
      <c r="J466" t="s">
        <v>16</v>
      </c>
      <c r="K466" t="s">
        <v>17</v>
      </c>
      <c r="L466">
        <v>719.59999999999991</v>
      </c>
      <c r="M466">
        <v>3598</v>
      </c>
      <c r="N466">
        <v>2878.4</v>
      </c>
      <c r="O466">
        <v>2878.4</v>
      </c>
    </row>
    <row r="467" spans="1:15" x14ac:dyDescent="0.3">
      <c r="A467" t="s">
        <v>610</v>
      </c>
      <c r="B467" s="1">
        <v>46194</v>
      </c>
      <c r="C467" t="s">
        <v>166</v>
      </c>
      <c r="D467" t="s">
        <v>20</v>
      </c>
      <c r="E467" t="s">
        <v>72</v>
      </c>
      <c r="F467">
        <v>1</v>
      </c>
      <c r="G467">
        <v>1799</v>
      </c>
      <c r="H467">
        <v>0</v>
      </c>
      <c r="I467" t="s">
        <v>36</v>
      </c>
      <c r="J467" t="s">
        <v>23</v>
      </c>
      <c r="K467" t="s">
        <v>17</v>
      </c>
      <c r="L467">
        <v>0</v>
      </c>
      <c r="M467">
        <v>1799</v>
      </c>
      <c r="N467">
        <v>1799</v>
      </c>
      <c r="O467">
        <v>1799</v>
      </c>
    </row>
    <row r="468" spans="1:15" x14ac:dyDescent="0.3">
      <c r="A468" t="s">
        <v>611</v>
      </c>
      <c r="B468" s="1">
        <v>46194</v>
      </c>
      <c r="C468" t="s">
        <v>57</v>
      </c>
      <c r="D468" t="s">
        <v>13</v>
      </c>
      <c r="E468" t="s">
        <v>125</v>
      </c>
      <c r="F468">
        <v>5</v>
      </c>
      <c r="G468">
        <v>1199</v>
      </c>
      <c r="H468">
        <v>0</v>
      </c>
      <c r="I468" t="s">
        <v>40</v>
      </c>
      <c r="J468" t="s">
        <v>31</v>
      </c>
      <c r="K468" t="s">
        <v>17</v>
      </c>
      <c r="L468">
        <v>0</v>
      </c>
      <c r="M468">
        <v>5995</v>
      </c>
      <c r="N468">
        <v>5995</v>
      </c>
      <c r="O468">
        <v>5995</v>
      </c>
    </row>
    <row r="469" spans="1:15" x14ac:dyDescent="0.3">
      <c r="A469" t="s">
        <v>612</v>
      </c>
      <c r="B469" s="1">
        <v>46194</v>
      </c>
      <c r="C469" t="s">
        <v>112</v>
      </c>
      <c r="D469" t="s">
        <v>34</v>
      </c>
      <c r="E469" t="s">
        <v>63</v>
      </c>
      <c r="F469">
        <v>2</v>
      </c>
      <c r="G469">
        <v>599</v>
      </c>
      <c r="H469">
        <v>0</v>
      </c>
      <c r="I469" t="s">
        <v>40</v>
      </c>
      <c r="J469" t="s">
        <v>31</v>
      </c>
      <c r="K469" t="s">
        <v>17</v>
      </c>
      <c r="L469">
        <v>0</v>
      </c>
      <c r="M469">
        <v>1198</v>
      </c>
      <c r="N469">
        <v>1198</v>
      </c>
      <c r="O469">
        <v>1198</v>
      </c>
    </row>
    <row r="470" spans="1:15" x14ac:dyDescent="0.3">
      <c r="A470" t="s">
        <v>613</v>
      </c>
      <c r="B470" s="1">
        <v>46194</v>
      </c>
      <c r="C470" t="s">
        <v>414</v>
      </c>
      <c r="D470" t="s">
        <v>13</v>
      </c>
      <c r="E470" t="s">
        <v>125</v>
      </c>
      <c r="F470">
        <v>4</v>
      </c>
      <c r="G470">
        <v>1199</v>
      </c>
      <c r="H470">
        <v>0.1</v>
      </c>
      <c r="I470" t="s">
        <v>36</v>
      </c>
      <c r="J470" t="s">
        <v>16</v>
      </c>
      <c r="K470" t="s">
        <v>17</v>
      </c>
      <c r="L470">
        <v>479.59999999999945</v>
      </c>
      <c r="M470">
        <v>4796</v>
      </c>
      <c r="N470">
        <v>4316.4000000000005</v>
      </c>
      <c r="O470">
        <v>4316.4000000000005</v>
      </c>
    </row>
    <row r="471" spans="1:15" x14ac:dyDescent="0.3">
      <c r="A471" t="s">
        <v>614</v>
      </c>
      <c r="B471" s="1">
        <v>46195</v>
      </c>
      <c r="C471" t="s">
        <v>33</v>
      </c>
      <c r="D471" t="s">
        <v>13</v>
      </c>
      <c r="E471" t="s">
        <v>69</v>
      </c>
      <c r="F471">
        <v>1</v>
      </c>
      <c r="G471">
        <v>299</v>
      </c>
      <c r="H471">
        <v>0.1</v>
      </c>
      <c r="I471" t="s">
        <v>40</v>
      </c>
      <c r="J471" t="s">
        <v>58</v>
      </c>
      <c r="K471" t="s">
        <v>17</v>
      </c>
      <c r="L471">
        <v>29.899999999999977</v>
      </c>
      <c r="M471">
        <v>299</v>
      </c>
      <c r="N471">
        <v>269.10000000000002</v>
      </c>
      <c r="O471">
        <v>269.10000000000002</v>
      </c>
    </row>
    <row r="472" spans="1:15" x14ac:dyDescent="0.3">
      <c r="A472" t="s">
        <v>615</v>
      </c>
      <c r="B472" s="1">
        <v>46195</v>
      </c>
      <c r="C472" t="s">
        <v>124</v>
      </c>
      <c r="D472" t="s">
        <v>20</v>
      </c>
      <c r="E472" t="s">
        <v>66</v>
      </c>
      <c r="F472">
        <v>1</v>
      </c>
      <c r="G472">
        <v>799</v>
      </c>
      <c r="H472">
        <v>0</v>
      </c>
      <c r="I472" t="s">
        <v>15</v>
      </c>
      <c r="J472" t="s">
        <v>16</v>
      </c>
      <c r="K472" t="s">
        <v>17</v>
      </c>
      <c r="L472">
        <v>0</v>
      </c>
      <c r="M472">
        <v>799</v>
      </c>
      <c r="N472">
        <v>799</v>
      </c>
      <c r="O472">
        <v>799</v>
      </c>
    </row>
    <row r="473" spans="1:15" x14ac:dyDescent="0.3">
      <c r="A473" t="s">
        <v>616</v>
      </c>
      <c r="B473" s="1">
        <v>46195</v>
      </c>
      <c r="C473" t="s">
        <v>164</v>
      </c>
      <c r="D473" t="s">
        <v>20</v>
      </c>
      <c r="E473" t="s">
        <v>21</v>
      </c>
      <c r="F473">
        <v>1</v>
      </c>
      <c r="G473">
        <v>1299</v>
      </c>
      <c r="H473">
        <v>0</v>
      </c>
      <c r="I473" t="s">
        <v>36</v>
      </c>
      <c r="J473" t="s">
        <v>31</v>
      </c>
      <c r="K473" t="s">
        <v>17</v>
      </c>
      <c r="L473">
        <v>0</v>
      </c>
      <c r="M473">
        <v>1299</v>
      </c>
      <c r="N473">
        <v>1299</v>
      </c>
      <c r="O473">
        <v>1299</v>
      </c>
    </row>
    <row r="474" spans="1:15" x14ac:dyDescent="0.3">
      <c r="A474" t="s">
        <v>617</v>
      </c>
      <c r="B474" s="1">
        <v>46196</v>
      </c>
      <c r="C474" t="s">
        <v>205</v>
      </c>
      <c r="D474" t="s">
        <v>20</v>
      </c>
      <c r="E474" t="s">
        <v>21</v>
      </c>
      <c r="F474">
        <v>3</v>
      </c>
      <c r="G474">
        <v>1299</v>
      </c>
      <c r="H474">
        <v>0.1</v>
      </c>
      <c r="I474" t="s">
        <v>40</v>
      </c>
      <c r="J474" t="s">
        <v>47</v>
      </c>
      <c r="K474" t="s">
        <v>17</v>
      </c>
      <c r="L474">
        <v>389.69999999999982</v>
      </c>
      <c r="M474">
        <v>3897</v>
      </c>
      <c r="N474">
        <v>3507.3</v>
      </c>
      <c r="O474">
        <v>3507.3</v>
      </c>
    </row>
    <row r="475" spans="1:15" x14ac:dyDescent="0.3">
      <c r="A475" t="s">
        <v>618</v>
      </c>
      <c r="B475" s="1">
        <v>46196</v>
      </c>
      <c r="C475" t="s">
        <v>159</v>
      </c>
      <c r="D475" t="s">
        <v>20</v>
      </c>
      <c r="E475" t="s">
        <v>21</v>
      </c>
      <c r="F475">
        <v>1</v>
      </c>
      <c r="G475">
        <v>1299</v>
      </c>
      <c r="H475">
        <v>0.05</v>
      </c>
      <c r="I475" t="s">
        <v>22</v>
      </c>
      <c r="J475" t="s">
        <v>47</v>
      </c>
      <c r="K475" t="s">
        <v>17</v>
      </c>
      <c r="L475">
        <v>64.950000000000045</v>
      </c>
      <c r="M475">
        <v>1299</v>
      </c>
      <c r="N475">
        <v>1234.05</v>
      </c>
      <c r="O475">
        <v>1234.05</v>
      </c>
    </row>
    <row r="476" spans="1:15" x14ac:dyDescent="0.3">
      <c r="A476" t="s">
        <v>619</v>
      </c>
      <c r="B476" s="1">
        <v>46197</v>
      </c>
      <c r="C476" t="s">
        <v>285</v>
      </c>
      <c r="D476" t="s">
        <v>29</v>
      </c>
      <c r="E476" t="s">
        <v>85</v>
      </c>
      <c r="F476">
        <v>1</v>
      </c>
      <c r="G476">
        <v>299</v>
      </c>
      <c r="H476">
        <v>0.2</v>
      </c>
      <c r="I476" t="s">
        <v>15</v>
      </c>
      <c r="J476" t="s">
        <v>58</v>
      </c>
      <c r="K476" t="s">
        <v>17</v>
      </c>
      <c r="L476">
        <v>59.799999999999983</v>
      </c>
      <c r="M476">
        <v>299</v>
      </c>
      <c r="N476">
        <v>239.20000000000002</v>
      </c>
      <c r="O476">
        <v>239.20000000000002</v>
      </c>
    </row>
    <row r="477" spans="1:15" x14ac:dyDescent="0.3">
      <c r="A477" t="s">
        <v>620</v>
      </c>
      <c r="B477" s="1">
        <v>46197</v>
      </c>
      <c r="C477" t="s">
        <v>119</v>
      </c>
      <c r="D477" t="s">
        <v>34</v>
      </c>
      <c r="E477" t="s">
        <v>35</v>
      </c>
      <c r="F477">
        <v>5</v>
      </c>
      <c r="G477">
        <v>6499</v>
      </c>
      <c r="H477">
        <v>0.05</v>
      </c>
      <c r="I477" t="s">
        <v>22</v>
      </c>
      <c r="J477" t="s">
        <v>47</v>
      </c>
      <c r="K477" t="s">
        <v>50</v>
      </c>
      <c r="L477">
        <v>1624.75</v>
      </c>
      <c r="M477">
        <v>32495</v>
      </c>
      <c r="N477">
        <v>30870.25</v>
      </c>
      <c r="O477">
        <v>0</v>
      </c>
    </row>
    <row r="478" spans="1:15" x14ac:dyDescent="0.3">
      <c r="A478" t="s">
        <v>621</v>
      </c>
      <c r="B478" s="1">
        <v>46197</v>
      </c>
      <c r="C478" t="s">
        <v>349</v>
      </c>
      <c r="D478" t="s">
        <v>29</v>
      </c>
      <c r="E478" t="s">
        <v>77</v>
      </c>
      <c r="F478">
        <v>1</v>
      </c>
      <c r="G478">
        <v>399</v>
      </c>
      <c r="H478">
        <v>0.1</v>
      </c>
      <c r="I478" t="s">
        <v>15</v>
      </c>
      <c r="J478" t="s">
        <v>23</v>
      </c>
      <c r="K478" t="s">
        <v>50</v>
      </c>
      <c r="L478">
        <v>39.899999999999977</v>
      </c>
      <c r="M478">
        <v>399</v>
      </c>
      <c r="N478">
        <v>359.1</v>
      </c>
      <c r="O478">
        <v>0</v>
      </c>
    </row>
    <row r="479" spans="1:15" x14ac:dyDescent="0.3">
      <c r="A479" t="s">
        <v>622</v>
      </c>
      <c r="B479" s="1">
        <v>46197</v>
      </c>
      <c r="C479" t="s">
        <v>87</v>
      </c>
      <c r="D479" t="s">
        <v>13</v>
      </c>
      <c r="E479" t="s">
        <v>93</v>
      </c>
      <c r="F479">
        <v>4</v>
      </c>
      <c r="G479">
        <v>1499</v>
      </c>
      <c r="H479">
        <v>0.05</v>
      </c>
      <c r="I479" t="s">
        <v>40</v>
      </c>
      <c r="J479" t="s">
        <v>58</v>
      </c>
      <c r="K479" t="s">
        <v>17</v>
      </c>
      <c r="L479">
        <v>299.80000000000018</v>
      </c>
      <c r="M479">
        <v>5996</v>
      </c>
      <c r="N479">
        <v>5696.2</v>
      </c>
      <c r="O479">
        <v>5696.2</v>
      </c>
    </row>
    <row r="480" spans="1:15" x14ac:dyDescent="0.3">
      <c r="A480" t="s">
        <v>623</v>
      </c>
      <c r="B480" s="1">
        <v>46198</v>
      </c>
      <c r="C480" t="s">
        <v>76</v>
      </c>
      <c r="D480" t="s">
        <v>34</v>
      </c>
      <c r="E480" t="s">
        <v>39</v>
      </c>
      <c r="F480">
        <v>2</v>
      </c>
      <c r="G480">
        <v>499</v>
      </c>
      <c r="H480">
        <v>0.1</v>
      </c>
      <c r="I480" t="s">
        <v>40</v>
      </c>
      <c r="J480" t="s">
        <v>23</v>
      </c>
      <c r="K480" t="s">
        <v>50</v>
      </c>
      <c r="L480">
        <v>99.799999999999955</v>
      </c>
      <c r="M480">
        <v>998</v>
      </c>
      <c r="N480">
        <v>898.2</v>
      </c>
      <c r="O480">
        <v>0</v>
      </c>
    </row>
    <row r="481" spans="1:15" x14ac:dyDescent="0.3">
      <c r="A481" t="s">
        <v>624</v>
      </c>
      <c r="B481" s="1">
        <v>46198</v>
      </c>
      <c r="C481" t="s">
        <v>132</v>
      </c>
      <c r="D481" t="s">
        <v>20</v>
      </c>
      <c r="E481" t="s">
        <v>21</v>
      </c>
      <c r="F481">
        <v>4</v>
      </c>
      <c r="G481">
        <v>1299</v>
      </c>
      <c r="H481">
        <v>0.15</v>
      </c>
      <c r="I481" t="s">
        <v>22</v>
      </c>
      <c r="J481" t="s">
        <v>58</v>
      </c>
      <c r="K481" t="s">
        <v>24</v>
      </c>
      <c r="L481">
        <v>779.40000000000055</v>
      </c>
      <c r="M481">
        <v>5196</v>
      </c>
      <c r="N481">
        <v>4416.5999999999995</v>
      </c>
      <c r="O481">
        <v>0</v>
      </c>
    </row>
    <row r="482" spans="1:15" x14ac:dyDescent="0.3">
      <c r="A482" t="s">
        <v>625</v>
      </c>
      <c r="B482" s="1">
        <v>46198</v>
      </c>
      <c r="C482" t="s">
        <v>209</v>
      </c>
      <c r="D482" t="s">
        <v>34</v>
      </c>
      <c r="E482" t="s">
        <v>39</v>
      </c>
      <c r="F482">
        <v>3</v>
      </c>
      <c r="G482">
        <v>499</v>
      </c>
      <c r="H482">
        <v>0.15</v>
      </c>
      <c r="I482" t="s">
        <v>36</v>
      </c>
      <c r="J482" t="s">
        <v>31</v>
      </c>
      <c r="K482" t="s">
        <v>17</v>
      </c>
      <c r="L482">
        <v>224.54999999999995</v>
      </c>
      <c r="M482">
        <v>1497</v>
      </c>
      <c r="N482">
        <v>1272.45</v>
      </c>
      <c r="O482">
        <v>1272.45</v>
      </c>
    </row>
    <row r="483" spans="1:15" x14ac:dyDescent="0.3">
      <c r="A483" t="s">
        <v>626</v>
      </c>
      <c r="B483" s="1">
        <v>46199</v>
      </c>
      <c r="C483" t="s">
        <v>309</v>
      </c>
      <c r="D483" t="s">
        <v>34</v>
      </c>
      <c r="E483" t="s">
        <v>108</v>
      </c>
      <c r="F483">
        <v>1</v>
      </c>
      <c r="G483">
        <v>1599</v>
      </c>
      <c r="H483">
        <v>0.1</v>
      </c>
      <c r="I483" t="s">
        <v>36</v>
      </c>
      <c r="J483" t="s">
        <v>16</v>
      </c>
      <c r="K483" t="s">
        <v>17</v>
      </c>
      <c r="L483">
        <v>159.89999999999986</v>
      </c>
      <c r="M483">
        <v>1599</v>
      </c>
      <c r="N483">
        <v>1439.1000000000001</v>
      </c>
      <c r="O483">
        <v>1439.1000000000001</v>
      </c>
    </row>
    <row r="484" spans="1:15" x14ac:dyDescent="0.3">
      <c r="A484" t="s">
        <v>627</v>
      </c>
      <c r="B484" s="1">
        <v>46199</v>
      </c>
      <c r="C484" t="s">
        <v>146</v>
      </c>
      <c r="D484" t="s">
        <v>13</v>
      </c>
      <c r="E484" t="s">
        <v>93</v>
      </c>
      <c r="F484">
        <v>1</v>
      </c>
      <c r="G484">
        <v>1499</v>
      </c>
      <c r="H484">
        <v>0</v>
      </c>
      <c r="I484" t="s">
        <v>40</v>
      </c>
      <c r="J484" t="s">
        <v>47</v>
      </c>
      <c r="K484" t="s">
        <v>17</v>
      </c>
      <c r="L484">
        <v>0</v>
      </c>
      <c r="M484">
        <v>1499</v>
      </c>
      <c r="N484">
        <v>1499</v>
      </c>
      <c r="O484">
        <v>1499</v>
      </c>
    </row>
    <row r="485" spans="1:15" x14ac:dyDescent="0.3">
      <c r="A485" t="s">
        <v>628</v>
      </c>
      <c r="B485" s="1">
        <v>46199</v>
      </c>
      <c r="C485" t="s">
        <v>214</v>
      </c>
      <c r="D485" t="s">
        <v>20</v>
      </c>
      <c r="E485" t="s">
        <v>66</v>
      </c>
      <c r="F485">
        <v>2</v>
      </c>
      <c r="G485">
        <v>799</v>
      </c>
      <c r="H485">
        <v>0.1</v>
      </c>
      <c r="I485" t="s">
        <v>15</v>
      </c>
      <c r="J485" t="s">
        <v>23</v>
      </c>
      <c r="K485" t="s">
        <v>24</v>
      </c>
      <c r="L485">
        <v>159.79999999999995</v>
      </c>
      <c r="M485">
        <v>1598</v>
      </c>
      <c r="N485">
        <v>1438.2</v>
      </c>
      <c r="O485">
        <v>0</v>
      </c>
    </row>
    <row r="486" spans="1:15" x14ac:dyDescent="0.3">
      <c r="A486" t="s">
        <v>629</v>
      </c>
      <c r="B486" s="1">
        <v>46199</v>
      </c>
      <c r="C486" t="s">
        <v>65</v>
      </c>
      <c r="D486" t="s">
        <v>20</v>
      </c>
      <c r="E486" t="s">
        <v>82</v>
      </c>
      <c r="F486">
        <v>1</v>
      </c>
      <c r="G486">
        <v>2299</v>
      </c>
      <c r="H486">
        <v>0</v>
      </c>
      <c r="I486" t="s">
        <v>36</v>
      </c>
      <c r="J486" t="s">
        <v>16</v>
      </c>
      <c r="K486" t="s">
        <v>17</v>
      </c>
      <c r="L486">
        <v>0</v>
      </c>
      <c r="M486">
        <v>2299</v>
      </c>
      <c r="N486">
        <v>2299</v>
      </c>
      <c r="O486">
        <v>2299</v>
      </c>
    </row>
    <row r="487" spans="1:15" x14ac:dyDescent="0.3">
      <c r="A487" t="s">
        <v>630</v>
      </c>
      <c r="B487" s="1">
        <v>46200</v>
      </c>
      <c r="C487" t="s">
        <v>298</v>
      </c>
      <c r="D487" t="s">
        <v>29</v>
      </c>
      <c r="E487" t="s">
        <v>85</v>
      </c>
      <c r="F487">
        <v>4</v>
      </c>
      <c r="G487">
        <v>299</v>
      </c>
      <c r="H487">
        <v>0.2</v>
      </c>
      <c r="I487" t="s">
        <v>22</v>
      </c>
      <c r="J487" t="s">
        <v>23</v>
      </c>
      <c r="K487" t="s">
        <v>50</v>
      </c>
      <c r="L487">
        <v>239.19999999999993</v>
      </c>
      <c r="M487">
        <v>1196</v>
      </c>
      <c r="N487">
        <v>956.80000000000007</v>
      </c>
      <c r="O487">
        <v>0</v>
      </c>
    </row>
    <row r="488" spans="1:15" x14ac:dyDescent="0.3">
      <c r="A488" t="s">
        <v>631</v>
      </c>
      <c r="B488" s="1">
        <v>46200</v>
      </c>
      <c r="C488" t="s">
        <v>76</v>
      </c>
      <c r="D488" t="s">
        <v>13</v>
      </c>
      <c r="E488" t="s">
        <v>93</v>
      </c>
      <c r="F488">
        <v>4</v>
      </c>
      <c r="G488">
        <v>1499</v>
      </c>
      <c r="H488">
        <v>0.05</v>
      </c>
      <c r="I488" t="s">
        <v>22</v>
      </c>
      <c r="J488" t="s">
        <v>31</v>
      </c>
      <c r="K488" t="s">
        <v>17</v>
      </c>
      <c r="L488">
        <v>299.80000000000018</v>
      </c>
      <c r="M488">
        <v>5996</v>
      </c>
      <c r="N488">
        <v>5696.2</v>
      </c>
      <c r="O488">
        <v>5696.2</v>
      </c>
    </row>
    <row r="489" spans="1:15" x14ac:dyDescent="0.3">
      <c r="A489" t="s">
        <v>632</v>
      </c>
      <c r="B489" s="1">
        <v>46201</v>
      </c>
      <c r="C489" t="s">
        <v>285</v>
      </c>
      <c r="D489" t="s">
        <v>29</v>
      </c>
      <c r="E489" t="s">
        <v>122</v>
      </c>
      <c r="F489">
        <v>1</v>
      </c>
      <c r="G489">
        <v>249</v>
      </c>
      <c r="H489">
        <v>0.05</v>
      </c>
      <c r="I489" t="s">
        <v>40</v>
      </c>
      <c r="J489" t="s">
        <v>31</v>
      </c>
      <c r="K489" t="s">
        <v>17</v>
      </c>
      <c r="L489">
        <v>12.450000000000017</v>
      </c>
      <c r="M489">
        <v>249</v>
      </c>
      <c r="N489">
        <v>236.54999999999998</v>
      </c>
      <c r="O489">
        <v>236.54999999999998</v>
      </c>
    </row>
    <row r="490" spans="1:15" x14ac:dyDescent="0.3">
      <c r="A490" t="s">
        <v>633</v>
      </c>
      <c r="B490" s="1">
        <v>46201</v>
      </c>
      <c r="C490" t="s">
        <v>634</v>
      </c>
      <c r="D490" t="s">
        <v>13</v>
      </c>
      <c r="E490" t="s">
        <v>93</v>
      </c>
      <c r="F490">
        <v>1</v>
      </c>
      <c r="G490">
        <v>1499</v>
      </c>
      <c r="H490">
        <v>0</v>
      </c>
      <c r="I490" t="s">
        <v>22</v>
      </c>
      <c r="J490" t="s">
        <v>31</v>
      </c>
      <c r="K490" t="s">
        <v>17</v>
      </c>
      <c r="L490">
        <v>0</v>
      </c>
      <c r="M490">
        <v>1499</v>
      </c>
      <c r="N490">
        <v>1499</v>
      </c>
      <c r="O490">
        <v>1499</v>
      </c>
    </row>
    <row r="491" spans="1:15" x14ac:dyDescent="0.3">
      <c r="A491" t="s">
        <v>635</v>
      </c>
      <c r="B491" s="1">
        <v>46201</v>
      </c>
      <c r="C491" t="s">
        <v>196</v>
      </c>
      <c r="D491" t="s">
        <v>20</v>
      </c>
      <c r="E491" t="s">
        <v>98</v>
      </c>
      <c r="F491">
        <v>5</v>
      </c>
      <c r="G491">
        <v>999</v>
      </c>
      <c r="H491">
        <v>0.05</v>
      </c>
      <c r="I491" t="s">
        <v>15</v>
      </c>
      <c r="J491" t="s">
        <v>47</v>
      </c>
      <c r="K491" t="s">
        <v>50</v>
      </c>
      <c r="L491">
        <v>249.75</v>
      </c>
      <c r="M491">
        <v>4995</v>
      </c>
      <c r="N491">
        <v>4745.25</v>
      </c>
      <c r="O491">
        <v>0</v>
      </c>
    </row>
    <row r="492" spans="1:15" x14ac:dyDescent="0.3">
      <c r="A492" t="s">
        <v>636</v>
      </c>
      <c r="B492" s="1">
        <v>46202</v>
      </c>
      <c r="C492" t="s">
        <v>28</v>
      </c>
      <c r="D492" t="s">
        <v>29</v>
      </c>
      <c r="E492" t="s">
        <v>77</v>
      </c>
      <c r="F492">
        <v>3</v>
      </c>
      <c r="G492">
        <v>399</v>
      </c>
      <c r="H492">
        <v>0.15</v>
      </c>
      <c r="I492" t="s">
        <v>15</v>
      </c>
      <c r="J492" t="s">
        <v>58</v>
      </c>
      <c r="K492" t="s">
        <v>17</v>
      </c>
      <c r="L492">
        <v>179.55000000000007</v>
      </c>
      <c r="M492">
        <v>1197</v>
      </c>
      <c r="N492">
        <v>1017.4499999999999</v>
      </c>
      <c r="O492">
        <v>1017.4499999999999</v>
      </c>
    </row>
    <row r="493" spans="1:15" x14ac:dyDescent="0.3">
      <c r="A493" t="s">
        <v>637</v>
      </c>
      <c r="B493" s="1">
        <v>46202</v>
      </c>
      <c r="C493" t="s">
        <v>65</v>
      </c>
      <c r="D493" t="s">
        <v>20</v>
      </c>
      <c r="E493" t="s">
        <v>66</v>
      </c>
      <c r="F493">
        <v>5</v>
      </c>
      <c r="G493">
        <v>799</v>
      </c>
      <c r="H493">
        <v>0.15</v>
      </c>
      <c r="I493" t="s">
        <v>22</v>
      </c>
      <c r="J493" t="s">
        <v>23</v>
      </c>
      <c r="K493" t="s">
        <v>24</v>
      </c>
      <c r="L493">
        <v>599.25</v>
      </c>
      <c r="M493">
        <v>3995</v>
      </c>
      <c r="N493">
        <v>3395.75</v>
      </c>
      <c r="O493">
        <v>0</v>
      </c>
    </row>
    <row r="494" spans="1:15" x14ac:dyDescent="0.3">
      <c r="A494" t="s">
        <v>638</v>
      </c>
      <c r="B494" s="1">
        <v>46202</v>
      </c>
      <c r="C494" t="s">
        <v>479</v>
      </c>
      <c r="D494" t="s">
        <v>34</v>
      </c>
      <c r="E494" t="s">
        <v>108</v>
      </c>
      <c r="F494">
        <v>4</v>
      </c>
      <c r="G494">
        <v>1599</v>
      </c>
      <c r="H494">
        <v>0.1</v>
      </c>
      <c r="I494" t="s">
        <v>40</v>
      </c>
      <c r="J494" t="s">
        <v>58</v>
      </c>
      <c r="K494" t="s">
        <v>17</v>
      </c>
      <c r="L494">
        <v>639.59999999999945</v>
      </c>
      <c r="M494">
        <v>6396</v>
      </c>
      <c r="N494">
        <v>5756.4000000000005</v>
      </c>
      <c r="O494">
        <v>5756.4000000000005</v>
      </c>
    </row>
    <row r="495" spans="1:15" x14ac:dyDescent="0.3">
      <c r="A495" t="s">
        <v>639</v>
      </c>
      <c r="B495" s="1">
        <v>46202</v>
      </c>
      <c r="C495" t="s">
        <v>76</v>
      </c>
      <c r="D495" t="s">
        <v>34</v>
      </c>
      <c r="E495" t="s">
        <v>53</v>
      </c>
      <c r="F495">
        <v>3</v>
      </c>
      <c r="G495">
        <v>899</v>
      </c>
      <c r="H495">
        <v>0.2</v>
      </c>
      <c r="I495" t="s">
        <v>15</v>
      </c>
      <c r="J495" t="s">
        <v>23</v>
      </c>
      <c r="K495" t="s">
        <v>17</v>
      </c>
      <c r="L495">
        <v>539.40000000000009</v>
      </c>
      <c r="M495">
        <v>2697</v>
      </c>
      <c r="N495">
        <v>2157.6</v>
      </c>
      <c r="O495">
        <v>2157.6</v>
      </c>
    </row>
    <row r="496" spans="1:15" x14ac:dyDescent="0.3">
      <c r="A496" t="s">
        <v>640</v>
      </c>
      <c r="B496" s="1">
        <v>46203</v>
      </c>
      <c r="C496" t="s">
        <v>265</v>
      </c>
      <c r="D496" t="s">
        <v>20</v>
      </c>
      <c r="E496" t="s">
        <v>21</v>
      </c>
      <c r="F496">
        <v>2</v>
      </c>
      <c r="G496">
        <v>1299</v>
      </c>
      <c r="H496">
        <v>0.1</v>
      </c>
      <c r="I496" t="s">
        <v>40</v>
      </c>
      <c r="J496" t="s">
        <v>58</v>
      </c>
      <c r="K496" t="s">
        <v>17</v>
      </c>
      <c r="L496">
        <v>259.79999999999973</v>
      </c>
      <c r="M496">
        <v>2598</v>
      </c>
      <c r="N496">
        <v>2338.2000000000003</v>
      </c>
      <c r="O496">
        <v>2338.2000000000003</v>
      </c>
    </row>
    <row r="497" spans="1:15" x14ac:dyDescent="0.3">
      <c r="A497" t="s">
        <v>641</v>
      </c>
      <c r="B497" s="1">
        <v>46203</v>
      </c>
      <c r="C497" t="s">
        <v>300</v>
      </c>
      <c r="D497" t="s">
        <v>29</v>
      </c>
      <c r="E497" t="s">
        <v>30</v>
      </c>
      <c r="F497">
        <v>3</v>
      </c>
      <c r="G497">
        <v>349</v>
      </c>
      <c r="H497">
        <v>0.15</v>
      </c>
      <c r="I497" t="s">
        <v>15</v>
      </c>
      <c r="J497" t="s">
        <v>31</v>
      </c>
      <c r="K497" t="s">
        <v>24</v>
      </c>
      <c r="L497">
        <v>157.05000000000007</v>
      </c>
      <c r="M497">
        <v>1047</v>
      </c>
      <c r="N497">
        <v>889.94999999999993</v>
      </c>
      <c r="O497">
        <v>0</v>
      </c>
    </row>
    <row r="498" spans="1:15" x14ac:dyDescent="0.3">
      <c r="A498" t="s">
        <v>642</v>
      </c>
      <c r="B498" s="1">
        <v>46203</v>
      </c>
      <c r="C498" t="s">
        <v>296</v>
      </c>
      <c r="D498" t="s">
        <v>29</v>
      </c>
      <c r="E498" t="s">
        <v>122</v>
      </c>
      <c r="F498">
        <v>1</v>
      </c>
      <c r="G498">
        <v>249</v>
      </c>
      <c r="H498">
        <v>0.1</v>
      </c>
      <c r="I498" t="s">
        <v>40</v>
      </c>
      <c r="J498" t="s">
        <v>23</v>
      </c>
      <c r="K498" t="s">
        <v>17</v>
      </c>
      <c r="L498">
        <v>24.900000000000006</v>
      </c>
      <c r="M498">
        <v>249</v>
      </c>
      <c r="N498">
        <v>224.1</v>
      </c>
      <c r="O498">
        <v>224.1</v>
      </c>
    </row>
    <row r="499" spans="1:15" x14ac:dyDescent="0.3">
      <c r="A499" t="s">
        <v>643</v>
      </c>
      <c r="B499" s="1">
        <v>46203</v>
      </c>
      <c r="C499" t="s">
        <v>280</v>
      </c>
      <c r="D499" t="s">
        <v>34</v>
      </c>
      <c r="E499" t="s">
        <v>35</v>
      </c>
      <c r="F499">
        <v>5</v>
      </c>
      <c r="G499">
        <v>6499</v>
      </c>
      <c r="H499">
        <v>0.1</v>
      </c>
      <c r="I499" t="s">
        <v>36</v>
      </c>
      <c r="J499" t="s">
        <v>58</v>
      </c>
      <c r="K499" t="s">
        <v>17</v>
      </c>
      <c r="L499">
        <v>3249.5</v>
      </c>
      <c r="M499">
        <v>32495</v>
      </c>
      <c r="N499">
        <v>29245.5</v>
      </c>
      <c r="O499">
        <v>29245.5</v>
      </c>
    </row>
    <row r="500" spans="1:15" x14ac:dyDescent="0.3">
      <c r="A500" t="s">
        <v>644</v>
      </c>
      <c r="B500" s="1">
        <v>46203</v>
      </c>
      <c r="C500" t="s">
        <v>217</v>
      </c>
      <c r="D500" t="s">
        <v>29</v>
      </c>
      <c r="E500" t="s">
        <v>85</v>
      </c>
      <c r="F500">
        <v>4</v>
      </c>
      <c r="G500">
        <v>299</v>
      </c>
      <c r="H500">
        <v>0.2</v>
      </c>
      <c r="I500" t="s">
        <v>15</v>
      </c>
      <c r="J500" t="s">
        <v>16</v>
      </c>
      <c r="K500" t="s">
        <v>17</v>
      </c>
      <c r="L500">
        <v>239.19999999999993</v>
      </c>
      <c r="M500">
        <v>1196</v>
      </c>
      <c r="N500">
        <v>956.80000000000007</v>
      </c>
      <c r="O500">
        <v>956.80000000000007</v>
      </c>
    </row>
    <row r="501" spans="1:15" x14ac:dyDescent="0.3">
      <c r="A501" t="s">
        <v>645</v>
      </c>
      <c r="B501" s="1">
        <v>46203</v>
      </c>
      <c r="C501" t="s">
        <v>12</v>
      </c>
      <c r="D501" t="s">
        <v>29</v>
      </c>
      <c r="E501" t="s">
        <v>77</v>
      </c>
      <c r="F501">
        <v>2</v>
      </c>
      <c r="G501">
        <v>399</v>
      </c>
      <c r="H501">
        <v>0.1</v>
      </c>
      <c r="I501" t="s">
        <v>22</v>
      </c>
      <c r="J501" t="s">
        <v>47</v>
      </c>
      <c r="K501" t="s">
        <v>17</v>
      </c>
      <c r="L501">
        <v>79.799999999999955</v>
      </c>
      <c r="M501">
        <v>798</v>
      </c>
      <c r="N501">
        <v>718.2</v>
      </c>
      <c r="O501">
        <v>718.2</v>
      </c>
    </row>
    <row r="502" spans="1:15" x14ac:dyDescent="0.3">
      <c r="A502">
        <f>SUBTOTAL(103,ecommerce_orders[Order_ID])</f>
        <v>500</v>
      </c>
      <c r="F502">
        <f>SUBTOTAL(109,ecommerce_orders[Quantity])</f>
        <v>966</v>
      </c>
      <c r="L502">
        <f>SUBTOTAL(109,ecommerce_orders[Net_Discount])</f>
        <v>123741.70000000001</v>
      </c>
      <c r="M502">
        <f>SUBTOTAL(109,ecommerce_orders[Gross_sales])</f>
        <v>1194684</v>
      </c>
      <c r="N502">
        <f>SUBTOTAL(109,ecommerce_orders[Net_Sales])</f>
        <v>1070942.3000000003</v>
      </c>
      <c r="O502">
        <f>SUBTOTAL(109,ecommerce_orders[Revenue])</f>
        <v>705789.9</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Y47"/>
  <sheetViews>
    <sheetView topLeftCell="D3" zoomScaleNormal="100" workbookViewId="0">
      <selection activeCell="D45" sqref="D45"/>
    </sheetView>
  </sheetViews>
  <sheetFormatPr defaultRowHeight="14.4" x14ac:dyDescent="0.3"/>
  <cols>
    <col min="1" max="1" width="9" bestFit="1" customWidth="1"/>
    <col min="2" max="4" width="14.88671875" bestFit="1" customWidth="1"/>
    <col min="5" max="5" width="12.5546875" bestFit="1" customWidth="1"/>
    <col min="6" max="6" width="16.6640625" bestFit="1" customWidth="1"/>
    <col min="7" max="8" width="14.88671875" bestFit="1" customWidth="1"/>
    <col min="9" max="9" width="18" bestFit="1" customWidth="1"/>
    <col min="10" max="10" width="14.88671875" bestFit="1" customWidth="1"/>
    <col min="11" max="11" width="10.77734375" bestFit="1" customWidth="1"/>
    <col min="12" max="12" width="15.77734375" bestFit="1" customWidth="1"/>
    <col min="13" max="13" width="14.88671875" bestFit="1" customWidth="1"/>
    <col min="14" max="14" width="8.77734375" bestFit="1" customWidth="1"/>
    <col min="15" max="15" width="10.77734375" bestFit="1" customWidth="1"/>
    <col min="16" max="16" width="18.33203125" bestFit="1" customWidth="1"/>
    <col min="18" max="18" width="17.33203125" bestFit="1" customWidth="1"/>
    <col min="19" max="19" width="15.77734375" bestFit="1" customWidth="1"/>
    <col min="20" max="20" width="14.88671875" bestFit="1" customWidth="1"/>
    <col min="21" max="21" width="16.21875" bestFit="1" customWidth="1"/>
    <col min="22" max="22" width="10.77734375" bestFit="1" customWidth="1"/>
    <col min="23" max="23" width="17.33203125" bestFit="1" customWidth="1"/>
    <col min="24" max="25" width="16.44140625" bestFit="1" customWidth="1"/>
    <col min="26" max="26" width="19.6640625" bestFit="1" customWidth="1"/>
  </cols>
  <sheetData>
    <row r="1" spans="1:25" x14ac:dyDescent="0.3">
      <c r="A1">
        <v>1</v>
      </c>
    </row>
    <row r="2" spans="1:25" x14ac:dyDescent="0.3">
      <c r="A2" t="s">
        <v>651</v>
      </c>
      <c r="B2" t="s">
        <v>653</v>
      </c>
      <c r="C2" t="s">
        <v>654</v>
      </c>
      <c r="D2" t="s">
        <v>658</v>
      </c>
      <c r="E2" s="3" t="s">
        <v>657</v>
      </c>
      <c r="F2" s="5" t="s">
        <v>659</v>
      </c>
      <c r="G2" t="s">
        <v>669</v>
      </c>
      <c r="H2" s="2" t="s">
        <v>687</v>
      </c>
      <c r="I2" s="2" t="s">
        <v>675</v>
      </c>
      <c r="J2" s="2" t="s">
        <v>678</v>
      </c>
    </row>
    <row r="3" spans="1:25" x14ac:dyDescent="0.3">
      <c r="A3">
        <v>500</v>
      </c>
      <c r="B3">
        <v>966</v>
      </c>
      <c r="C3" s="4">
        <v>1194684</v>
      </c>
      <c r="D3" s="4">
        <v>123741.70000000001</v>
      </c>
      <c r="E3" s="21">
        <v>1070942.3000000003</v>
      </c>
      <c r="F3" s="21">
        <f>705789.9/A3</f>
        <v>1411.5798</v>
      </c>
      <c r="G3" s="21">
        <v>705789.9</v>
      </c>
      <c r="H3" s="6">
        <f>(90/500)</f>
        <v>0.18</v>
      </c>
      <c r="I3">
        <f>COUNTA(_xlfn.UNIQUE(ecommerce_orders[Customer_ID]))</f>
        <v>99</v>
      </c>
      <c r="J3" s="6">
        <f>(91/99)</f>
        <v>0.91919191919191923</v>
      </c>
    </row>
    <row r="5" spans="1:25" x14ac:dyDescent="0.3">
      <c r="A5" s="17" t="s">
        <v>684</v>
      </c>
      <c r="B5" s="8"/>
      <c r="G5" s="18" t="s">
        <v>683</v>
      </c>
      <c r="H5" s="8"/>
      <c r="R5" s="18" t="s">
        <v>679</v>
      </c>
      <c r="S5" s="8"/>
    </row>
    <row r="6" spans="1:25" x14ac:dyDescent="0.3">
      <c r="A6" s="7" t="s">
        <v>666</v>
      </c>
      <c r="B6" s="7" t="s">
        <v>650</v>
      </c>
      <c r="C6" s="7" t="s">
        <v>652</v>
      </c>
      <c r="D6" s="7" t="s">
        <v>669</v>
      </c>
      <c r="E6" s="9" t="s">
        <v>671</v>
      </c>
      <c r="G6" s="7" t="s">
        <v>673</v>
      </c>
      <c r="H6" s="7" t="s">
        <v>669</v>
      </c>
      <c r="I6" s="7" t="s">
        <v>648</v>
      </c>
      <c r="J6" s="7" t="s">
        <v>652</v>
      </c>
      <c r="K6" s="7" t="s">
        <v>3</v>
      </c>
      <c r="L6" s="7" t="s">
        <v>656</v>
      </c>
      <c r="M6" s="7" t="s">
        <v>669</v>
      </c>
      <c r="N6" s="7"/>
      <c r="O6" s="7"/>
      <c r="P6" s="7"/>
      <c r="R6" s="7" t="s">
        <v>676</v>
      </c>
      <c r="S6" s="7" t="s">
        <v>656</v>
      </c>
      <c r="T6" s="7" t="s">
        <v>669</v>
      </c>
      <c r="U6" s="16" t="s">
        <v>677</v>
      </c>
      <c r="V6" s="7"/>
      <c r="W6" s="7" t="s">
        <v>676</v>
      </c>
      <c r="X6" s="7" t="s">
        <v>650</v>
      </c>
      <c r="Y6" s="7"/>
    </row>
    <row r="7" spans="1:25" x14ac:dyDescent="0.3">
      <c r="A7" s="10" t="s">
        <v>660</v>
      </c>
      <c r="B7" s="7">
        <v>90</v>
      </c>
      <c r="C7" s="7">
        <v>164</v>
      </c>
      <c r="D7" s="11">
        <v>109800.75</v>
      </c>
      <c r="E7" s="12">
        <v>0.61111111111111116</v>
      </c>
      <c r="G7" s="10" t="s">
        <v>93</v>
      </c>
      <c r="H7" s="7">
        <v>53664.19999999999</v>
      </c>
      <c r="I7" s="10" t="s">
        <v>13</v>
      </c>
      <c r="J7" s="7">
        <v>206</v>
      </c>
      <c r="K7" s="10" t="s">
        <v>13</v>
      </c>
      <c r="L7" s="14">
        <v>157370.94999999998</v>
      </c>
      <c r="M7" s="13">
        <v>112289.65000000001</v>
      </c>
      <c r="N7" s="7"/>
      <c r="O7" s="7"/>
      <c r="P7" s="7"/>
      <c r="R7" s="10" t="s">
        <v>189</v>
      </c>
      <c r="S7" s="7">
        <v>34205</v>
      </c>
      <c r="T7" s="7">
        <v>33306.800000000003</v>
      </c>
      <c r="U7" s="16">
        <v>2.6259318813038945E-2</v>
      </c>
      <c r="V7" s="7"/>
      <c r="W7" s="10" t="s">
        <v>87</v>
      </c>
      <c r="X7" s="7">
        <v>9</v>
      </c>
      <c r="Y7" s="7"/>
    </row>
    <row r="8" spans="1:25" x14ac:dyDescent="0.3">
      <c r="A8" s="10" t="s">
        <v>661</v>
      </c>
      <c r="B8" s="7">
        <v>71</v>
      </c>
      <c r="C8" s="7">
        <v>136</v>
      </c>
      <c r="D8" s="11">
        <v>112468.39999999998</v>
      </c>
      <c r="E8" s="12">
        <v>0.6901408450704225</v>
      </c>
      <c r="G8" s="10" t="s">
        <v>21</v>
      </c>
      <c r="H8" s="7">
        <v>42867</v>
      </c>
      <c r="I8" s="15" t="s">
        <v>93</v>
      </c>
      <c r="J8" s="7">
        <v>46</v>
      </c>
      <c r="K8" s="10" t="s">
        <v>20</v>
      </c>
      <c r="L8" s="14">
        <v>358290.64999999991</v>
      </c>
      <c r="M8" s="13">
        <v>195291.54999999996</v>
      </c>
      <c r="N8" s="7"/>
      <c r="O8" s="7"/>
      <c r="P8" s="7"/>
      <c r="R8" s="10" t="s">
        <v>107</v>
      </c>
      <c r="S8" s="7">
        <v>29197.149999999998</v>
      </c>
      <c r="T8" s="7">
        <v>23370.449999999997</v>
      </c>
      <c r="U8" s="16">
        <v>0.19956399854095352</v>
      </c>
      <c r="V8" s="7"/>
      <c r="W8" s="10" t="s">
        <v>19</v>
      </c>
      <c r="X8" s="7">
        <v>9</v>
      </c>
      <c r="Y8" s="7"/>
    </row>
    <row r="9" spans="1:25" x14ac:dyDescent="0.3">
      <c r="A9" s="10" t="s">
        <v>662</v>
      </c>
      <c r="B9" s="7">
        <v>78</v>
      </c>
      <c r="C9" s="7">
        <v>152</v>
      </c>
      <c r="D9" s="11">
        <v>101098.15</v>
      </c>
      <c r="E9" s="12">
        <v>0.64102564102564108</v>
      </c>
      <c r="G9" s="10" t="s">
        <v>35</v>
      </c>
      <c r="H9" s="7">
        <v>250536.44999999995</v>
      </c>
      <c r="I9" s="15" t="s">
        <v>69</v>
      </c>
      <c r="J9" s="7">
        <v>43</v>
      </c>
      <c r="K9" s="10" t="s">
        <v>34</v>
      </c>
      <c r="L9" s="14">
        <v>492447.15000000008</v>
      </c>
      <c r="M9" s="13">
        <v>354962.30000000005</v>
      </c>
      <c r="N9" s="7"/>
      <c r="O9" s="7"/>
      <c r="P9" s="7"/>
      <c r="R9" s="10" t="s">
        <v>275</v>
      </c>
      <c r="S9" s="7">
        <v>26615.649999999998</v>
      </c>
      <c r="T9" s="7">
        <v>26018.649999999998</v>
      </c>
      <c r="U9" s="16">
        <v>2.2430412182306278E-2</v>
      </c>
      <c r="V9" s="7"/>
      <c r="W9" s="10" t="s">
        <v>57</v>
      </c>
      <c r="X9" s="7">
        <v>8</v>
      </c>
      <c r="Y9" s="7"/>
    </row>
    <row r="10" spans="1:25" x14ac:dyDescent="0.3">
      <c r="A10" s="10" t="s">
        <v>663</v>
      </c>
      <c r="B10" s="7">
        <v>93</v>
      </c>
      <c r="C10" s="7">
        <v>172</v>
      </c>
      <c r="D10" s="11">
        <v>114740.24999999999</v>
      </c>
      <c r="E10" s="12">
        <v>0.68817204301075274</v>
      </c>
      <c r="G10" s="10" t="s">
        <v>108</v>
      </c>
      <c r="H10" s="7">
        <v>44931.899999999994</v>
      </c>
      <c r="I10" s="15" t="s">
        <v>125</v>
      </c>
      <c r="J10" s="7">
        <v>41</v>
      </c>
      <c r="K10" s="10" t="s">
        <v>29</v>
      </c>
      <c r="L10" s="14">
        <v>62833.549999999988</v>
      </c>
      <c r="M10" s="13">
        <v>43246.400000000001</v>
      </c>
      <c r="N10" s="7"/>
      <c r="O10" s="7"/>
      <c r="P10" s="7"/>
      <c r="R10" s="10" t="s">
        <v>42</v>
      </c>
      <c r="S10" s="7">
        <v>33151.550000000003</v>
      </c>
      <c r="T10" s="7">
        <v>16718.55</v>
      </c>
      <c r="U10" s="16">
        <v>0.49569326321092083</v>
      </c>
      <c r="V10" s="7"/>
      <c r="W10" s="10" t="s">
        <v>182</v>
      </c>
      <c r="X10" s="7">
        <v>8</v>
      </c>
      <c r="Y10" s="7"/>
    </row>
    <row r="11" spans="1:25" x14ac:dyDescent="0.3">
      <c r="A11" s="10" t="s">
        <v>664</v>
      </c>
      <c r="B11" s="7">
        <v>87</v>
      </c>
      <c r="C11" s="7">
        <v>168</v>
      </c>
      <c r="D11" s="11">
        <v>125136.89999999998</v>
      </c>
      <c r="E11" s="12">
        <v>0.5977011494252874</v>
      </c>
      <c r="G11" s="10" t="s">
        <v>82</v>
      </c>
      <c r="H11" s="7">
        <v>59314.2</v>
      </c>
      <c r="I11" s="15" t="s">
        <v>14</v>
      </c>
      <c r="J11" s="7">
        <v>57</v>
      </c>
      <c r="K11" s="10" t="s">
        <v>649</v>
      </c>
      <c r="L11" s="14">
        <v>1070942.3</v>
      </c>
      <c r="M11" s="13">
        <v>705789.9</v>
      </c>
      <c r="N11" s="7"/>
      <c r="O11" s="7"/>
      <c r="P11" s="7"/>
      <c r="R11" s="10" t="s">
        <v>175</v>
      </c>
      <c r="S11" s="7">
        <v>31005.200000000001</v>
      </c>
      <c r="T11" s="7">
        <v>28817.95</v>
      </c>
      <c r="U11" s="16">
        <v>7.0544618322087901E-2</v>
      </c>
      <c r="V11" s="7"/>
      <c r="W11" s="10" t="s">
        <v>189</v>
      </c>
      <c r="X11" s="7">
        <v>8</v>
      </c>
      <c r="Y11" s="7"/>
    </row>
    <row r="12" spans="1:25" x14ac:dyDescent="0.3">
      <c r="A12" s="10" t="s">
        <v>665</v>
      </c>
      <c r="B12" s="7">
        <v>81</v>
      </c>
      <c r="C12" s="7">
        <v>174</v>
      </c>
      <c r="D12" s="11">
        <v>142545.45000000001</v>
      </c>
      <c r="E12" s="12">
        <v>0.72839506172839508</v>
      </c>
      <c r="G12" s="10" t="s">
        <v>649</v>
      </c>
      <c r="H12" s="7">
        <v>451313.74999999994</v>
      </c>
      <c r="I12" s="15" t="s">
        <v>231</v>
      </c>
      <c r="J12" s="7">
        <v>19</v>
      </c>
      <c r="K12" s="7"/>
      <c r="L12" s="7"/>
      <c r="M12" s="7"/>
      <c r="N12" s="7"/>
      <c r="O12" s="7"/>
      <c r="P12" s="7"/>
      <c r="R12" s="10" t="s">
        <v>137</v>
      </c>
      <c r="S12" s="7">
        <v>26660.650000000005</v>
      </c>
      <c r="T12" s="7">
        <v>22750.100000000006</v>
      </c>
      <c r="U12" s="16">
        <v>0.14667871938606142</v>
      </c>
      <c r="V12" s="7"/>
      <c r="W12" s="10" t="s">
        <v>148</v>
      </c>
      <c r="X12" s="7">
        <v>8</v>
      </c>
      <c r="Y12" s="7"/>
    </row>
    <row r="13" spans="1:25" x14ac:dyDescent="0.3">
      <c r="A13" s="7"/>
      <c r="B13" s="7"/>
      <c r="C13" s="7"/>
      <c r="D13" s="7"/>
      <c r="E13" s="7"/>
      <c r="G13" s="7"/>
      <c r="H13" s="7"/>
      <c r="I13" s="10" t="s">
        <v>20</v>
      </c>
      <c r="J13" s="7">
        <v>284</v>
      </c>
      <c r="K13" s="7"/>
      <c r="L13" s="7"/>
      <c r="M13" s="7"/>
      <c r="N13" s="7"/>
      <c r="O13" s="7"/>
      <c r="P13" s="7"/>
      <c r="R13" s="10" t="s">
        <v>161</v>
      </c>
      <c r="S13" s="7">
        <v>26752.499999999996</v>
      </c>
      <c r="T13" s="7">
        <v>24875.299999999996</v>
      </c>
      <c r="U13" s="16">
        <v>7.0169143070741083E-2</v>
      </c>
      <c r="V13" s="7"/>
      <c r="W13" s="10" t="s">
        <v>42</v>
      </c>
      <c r="X13" s="7">
        <v>8</v>
      </c>
      <c r="Y13" s="7"/>
    </row>
    <row r="14" spans="1:25" x14ac:dyDescent="0.3">
      <c r="A14" s="7" t="s">
        <v>666</v>
      </c>
      <c r="B14" s="7" t="s">
        <v>681</v>
      </c>
      <c r="C14" s="7" t="s">
        <v>682</v>
      </c>
      <c r="D14" s="7"/>
      <c r="E14" s="7"/>
      <c r="G14" s="7"/>
      <c r="H14" s="7"/>
      <c r="I14" s="15" t="s">
        <v>72</v>
      </c>
      <c r="J14" s="7">
        <v>44</v>
      </c>
      <c r="K14" s="7" t="s">
        <v>670</v>
      </c>
      <c r="L14" s="7" t="s">
        <v>668</v>
      </c>
      <c r="M14" s="7"/>
      <c r="N14" s="7"/>
      <c r="O14" s="7"/>
      <c r="P14" s="7"/>
      <c r="R14" s="10" t="s">
        <v>119</v>
      </c>
      <c r="S14" s="7">
        <v>43601.15</v>
      </c>
      <c r="T14" s="7">
        <v>10661.8</v>
      </c>
      <c r="U14" s="16">
        <v>0.75546975251799564</v>
      </c>
      <c r="V14" s="7"/>
      <c r="W14" s="10" t="s">
        <v>65</v>
      </c>
      <c r="X14" s="7">
        <v>9</v>
      </c>
      <c r="Y14" s="7"/>
    </row>
    <row r="15" spans="1:25" x14ac:dyDescent="0.3">
      <c r="A15" s="10" t="s">
        <v>660</v>
      </c>
      <c r="B15" s="7">
        <v>172314.55</v>
      </c>
      <c r="C15" s="7">
        <v>109800.75</v>
      </c>
      <c r="D15" s="7"/>
      <c r="E15" s="7"/>
      <c r="G15" s="7"/>
      <c r="H15" s="7"/>
      <c r="I15" s="15" t="s">
        <v>21</v>
      </c>
      <c r="J15" s="7">
        <v>58</v>
      </c>
      <c r="K15" s="7" t="s">
        <v>3</v>
      </c>
      <c r="L15" s="7" t="s">
        <v>24</v>
      </c>
      <c r="M15" s="7" t="s">
        <v>17</v>
      </c>
      <c r="N15" s="7" t="s">
        <v>50</v>
      </c>
      <c r="O15" s="7" t="s">
        <v>649</v>
      </c>
      <c r="P15" s="9" t="s">
        <v>672</v>
      </c>
      <c r="R15" s="10" t="s">
        <v>280</v>
      </c>
      <c r="S15" s="7">
        <v>31942.5</v>
      </c>
      <c r="T15" s="7">
        <v>29544.5</v>
      </c>
      <c r="U15" s="16">
        <v>7.507239571104328E-2</v>
      </c>
      <c r="V15" s="7"/>
      <c r="W15" s="10" t="s">
        <v>209</v>
      </c>
      <c r="X15" s="7">
        <v>10</v>
      </c>
      <c r="Y15" s="7"/>
    </row>
    <row r="16" spans="1:25" x14ac:dyDescent="0.3">
      <c r="A16" s="10" t="s">
        <v>661</v>
      </c>
      <c r="B16" s="7">
        <v>138259.90000000002</v>
      </c>
      <c r="C16" s="7">
        <v>112468.39999999998</v>
      </c>
      <c r="D16" s="7"/>
      <c r="E16" s="7"/>
      <c r="G16" s="7"/>
      <c r="H16" s="7"/>
      <c r="I16" s="15" t="s">
        <v>98</v>
      </c>
      <c r="J16" s="7">
        <v>79</v>
      </c>
      <c r="K16" s="10" t="s">
        <v>13</v>
      </c>
      <c r="L16" s="7">
        <v>10</v>
      </c>
      <c r="M16" s="7">
        <v>79</v>
      </c>
      <c r="N16" s="7">
        <v>23</v>
      </c>
      <c r="O16" s="7">
        <v>112</v>
      </c>
      <c r="P16" s="12">
        <f>M16/O16</f>
        <v>0.7053571428571429</v>
      </c>
      <c r="R16" s="10" t="s">
        <v>173</v>
      </c>
      <c r="S16" s="7">
        <v>42096.95</v>
      </c>
      <c r="T16" s="7">
        <v>24350.45</v>
      </c>
      <c r="U16" s="16">
        <v>0.42156260726727229</v>
      </c>
      <c r="V16" s="7"/>
      <c r="W16" s="10" t="s">
        <v>166</v>
      </c>
      <c r="X16" s="7">
        <v>9</v>
      </c>
      <c r="Y16" s="7"/>
    </row>
    <row r="17" spans="1:25" x14ac:dyDescent="0.3">
      <c r="A17" s="10" t="s">
        <v>662</v>
      </c>
      <c r="B17" s="7">
        <v>147560.49999999997</v>
      </c>
      <c r="C17" s="7">
        <v>101098.15</v>
      </c>
      <c r="D17" s="7"/>
      <c r="E17" s="7"/>
      <c r="G17" s="7"/>
      <c r="H17" s="7"/>
      <c r="I17" s="15" t="s">
        <v>82</v>
      </c>
      <c r="J17" s="7">
        <v>57</v>
      </c>
      <c r="K17" s="10" t="s">
        <v>20</v>
      </c>
      <c r="L17" s="7">
        <v>32</v>
      </c>
      <c r="M17" s="7">
        <v>81</v>
      </c>
      <c r="N17" s="7">
        <v>30</v>
      </c>
      <c r="O17" s="7">
        <v>143</v>
      </c>
      <c r="P17" s="12">
        <f t="shared" ref="P17:P20" si="0">M17/O17</f>
        <v>0.56643356643356646</v>
      </c>
      <c r="R17" s="10" t="s">
        <v>649</v>
      </c>
      <c r="S17" s="7">
        <v>325228.3</v>
      </c>
      <c r="T17" s="7">
        <v>240414.55</v>
      </c>
      <c r="U17" s="16">
        <v>0.26078219515337359</v>
      </c>
      <c r="V17" s="7"/>
      <c r="W17" s="10" t="s">
        <v>146</v>
      </c>
      <c r="X17" s="7">
        <v>8</v>
      </c>
      <c r="Y17" s="7"/>
    </row>
    <row r="18" spans="1:25" x14ac:dyDescent="0.3">
      <c r="A18" s="10" t="s">
        <v>663</v>
      </c>
      <c r="B18" s="7">
        <v>179141.15000000005</v>
      </c>
      <c r="C18" s="7">
        <v>114740.24999999999</v>
      </c>
      <c r="D18" s="7"/>
      <c r="E18" s="7"/>
      <c r="G18" s="7"/>
      <c r="H18" s="7"/>
      <c r="I18" s="15" t="s">
        <v>66</v>
      </c>
      <c r="J18" s="7">
        <v>46</v>
      </c>
      <c r="K18" s="10" t="s">
        <v>34</v>
      </c>
      <c r="L18" s="7">
        <v>18</v>
      </c>
      <c r="M18" s="7">
        <v>85</v>
      </c>
      <c r="N18" s="7">
        <v>16</v>
      </c>
      <c r="O18" s="7">
        <v>119</v>
      </c>
      <c r="P18" s="12">
        <f t="shared" si="0"/>
        <v>0.7142857142857143</v>
      </c>
      <c r="R18" s="7"/>
      <c r="S18" s="7"/>
      <c r="T18" s="7"/>
      <c r="U18" s="7"/>
      <c r="V18" s="7"/>
      <c r="W18" s="10" t="s">
        <v>76</v>
      </c>
      <c r="X18" s="7">
        <v>8</v>
      </c>
      <c r="Y18" s="7"/>
    </row>
    <row r="19" spans="1:25" x14ac:dyDescent="0.3">
      <c r="A19" s="10" t="s">
        <v>664</v>
      </c>
      <c r="B19" s="7">
        <v>213077.9</v>
      </c>
      <c r="C19" s="7">
        <v>125136.89999999998</v>
      </c>
      <c r="D19" s="7"/>
      <c r="E19" s="7"/>
      <c r="G19" s="7"/>
      <c r="H19" s="7"/>
      <c r="I19" s="10" t="s">
        <v>34</v>
      </c>
      <c r="J19" s="7">
        <v>237</v>
      </c>
      <c r="K19" s="10" t="s">
        <v>29</v>
      </c>
      <c r="L19" s="7">
        <v>21</v>
      </c>
      <c r="M19" s="7">
        <v>84</v>
      </c>
      <c r="N19" s="7">
        <v>21</v>
      </c>
      <c r="O19" s="7">
        <v>126</v>
      </c>
      <c r="P19" s="12">
        <f t="shared" si="0"/>
        <v>0.66666666666666663</v>
      </c>
      <c r="R19" s="7"/>
      <c r="S19" s="7"/>
      <c r="T19" s="7"/>
      <c r="U19" s="7"/>
      <c r="V19" s="7"/>
      <c r="W19" s="10" t="s">
        <v>196</v>
      </c>
      <c r="X19" s="7">
        <v>8</v>
      </c>
      <c r="Y19" s="7"/>
    </row>
    <row r="20" spans="1:25" x14ac:dyDescent="0.3">
      <c r="A20" s="10" t="s">
        <v>665</v>
      </c>
      <c r="B20" s="7">
        <v>220588.3000000001</v>
      </c>
      <c r="C20" s="7">
        <v>142545.45000000001</v>
      </c>
      <c r="D20" s="7"/>
      <c r="E20" s="7"/>
      <c r="G20" s="7"/>
      <c r="H20" s="7"/>
      <c r="I20" s="15" t="s">
        <v>53</v>
      </c>
      <c r="J20" s="7">
        <v>52</v>
      </c>
      <c r="K20" s="10" t="s">
        <v>649</v>
      </c>
      <c r="L20" s="7">
        <v>81</v>
      </c>
      <c r="M20" s="7">
        <v>329</v>
      </c>
      <c r="N20" s="7">
        <v>90</v>
      </c>
      <c r="O20" s="7">
        <v>500</v>
      </c>
      <c r="P20" s="12">
        <f t="shared" si="0"/>
        <v>0.65800000000000003</v>
      </c>
      <c r="R20" s="7"/>
      <c r="S20" s="7"/>
      <c r="T20" s="7"/>
      <c r="U20" s="7"/>
      <c r="V20" s="7"/>
      <c r="W20" s="10" t="s">
        <v>349</v>
      </c>
      <c r="X20" s="7">
        <v>8</v>
      </c>
      <c r="Y20" s="7"/>
    </row>
    <row r="21" spans="1:25" x14ac:dyDescent="0.3">
      <c r="G21" s="7"/>
      <c r="H21" s="7"/>
      <c r="I21" s="15" t="s">
        <v>35</v>
      </c>
      <c r="J21" s="7">
        <v>59</v>
      </c>
      <c r="K21" s="7"/>
      <c r="L21" s="7"/>
      <c r="M21" s="7"/>
      <c r="N21" s="7"/>
      <c r="O21" s="7"/>
      <c r="P21" s="7"/>
      <c r="R21" s="7"/>
      <c r="S21" s="7"/>
      <c r="T21" s="7"/>
      <c r="U21" s="7"/>
      <c r="V21" s="7"/>
      <c r="W21" s="10" t="s">
        <v>649</v>
      </c>
      <c r="X21" s="7">
        <v>118</v>
      </c>
      <c r="Y21" s="7"/>
    </row>
    <row r="22" spans="1:25" x14ac:dyDescent="0.3">
      <c r="G22" s="7"/>
      <c r="H22" s="7"/>
      <c r="I22" s="15" t="s">
        <v>39</v>
      </c>
      <c r="J22" s="7">
        <v>39</v>
      </c>
      <c r="K22" s="7"/>
      <c r="L22" s="7"/>
      <c r="M22" s="7"/>
      <c r="N22" s="7"/>
      <c r="O22" s="7"/>
      <c r="P22" s="7"/>
    </row>
    <row r="23" spans="1:25" x14ac:dyDescent="0.3">
      <c r="A23" s="17" t="s">
        <v>685</v>
      </c>
      <c r="B23" s="8"/>
      <c r="G23" s="7"/>
      <c r="H23" s="7"/>
      <c r="I23" s="15" t="s">
        <v>108</v>
      </c>
      <c r="J23" s="7">
        <v>48</v>
      </c>
      <c r="K23" s="7"/>
      <c r="L23" s="7"/>
      <c r="M23" s="7"/>
      <c r="N23" s="7"/>
      <c r="O23" s="7"/>
      <c r="P23" s="7"/>
    </row>
    <row r="24" spans="1:25" x14ac:dyDescent="0.3">
      <c r="A24" s="7" t="s">
        <v>8</v>
      </c>
      <c r="B24" s="7" t="s">
        <v>674</v>
      </c>
      <c r="C24" s="7" t="s">
        <v>652</v>
      </c>
      <c r="D24" s="7" t="s">
        <v>669</v>
      </c>
      <c r="E24" s="9" t="s">
        <v>680</v>
      </c>
      <c r="G24" s="7"/>
      <c r="H24" s="7"/>
      <c r="I24" s="15" t="s">
        <v>63</v>
      </c>
      <c r="J24" s="7">
        <v>39</v>
      </c>
      <c r="K24" s="7"/>
      <c r="L24" s="7"/>
      <c r="M24" s="7"/>
      <c r="N24" s="7"/>
      <c r="O24" s="7"/>
      <c r="P24" s="7"/>
    </row>
    <row r="25" spans="1:25" x14ac:dyDescent="0.3">
      <c r="A25" s="10" t="s">
        <v>22</v>
      </c>
      <c r="B25" s="7">
        <v>27</v>
      </c>
      <c r="C25" s="7">
        <v>283</v>
      </c>
      <c r="D25" s="14">
        <v>258999.79999999996</v>
      </c>
      <c r="E25" s="14">
        <f>D25/C25</f>
        <v>915.19363957597159</v>
      </c>
      <c r="G25" s="7"/>
      <c r="H25" s="7"/>
      <c r="I25" s="10" t="s">
        <v>29</v>
      </c>
      <c r="J25" s="7">
        <v>239</v>
      </c>
      <c r="K25" s="7"/>
      <c r="L25" s="7"/>
      <c r="M25" s="7"/>
      <c r="N25" s="7"/>
      <c r="O25" s="7"/>
      <c r="P25" s="7"/>
    </row>
    <row r="26" spans="1:25" x14ac:dyDescent="0.3">
      <c r="A26" s="10" t="s">
        <v>40</v>
      </c>
      <c r="B26" s="7">
        <v>23</v>
      </c>
      <c r="C26" s="7">
        <v>239</v>
      </c>
      <c r="D26" s="14">
        <v>151354.15000000002</v>
      </c>
      <c r="E26" s="14">
        <f t="shared" ref="E26:E28" si="1">D26/C26</f>
        <v>633.28096234309635</v>
      </c>
      <c r="G26" s="7"/>
      <c r="H26" s="7"/>
      <c r="I26" s="15" t="s">
        <v>122</v>
      </c>
      <c r="J26" s="7">
        <v>43</v>
      </c>
      <c r="K26" s="7"/>
      <c r="L26" s="7"/>
      <c r="M26" s="7"/>
      <c r="N26" s="7"/>
      <c r="O26" s="7"/>
      <c r="P26" s="7"/>
    </row>
    <row r="27" spans="1:25" x14ac:dyDescent="0.3">
      <c r="A27" s="10" t="s">
        <v>15</v>
      </c>
      <c r="B27" s="7">
        <v>26</v>
      </c>
      <c r="C27" s="7">
        <v>235</v>
      </c>
      <c r="D27" s="14">
        <v>147734.30000000005</v>
      </c>
      <c r="E27" s="14">
        <f t="shared" si="1"/>
        <v>628.656595744681</v>
      </c>
      <c r="G27" s="7"/>
      <c r="H27" s="7"/>
      <c r="I27" s="15" t="s">
        <v>30</v>
      </c>
      <c r="J27" s="7">
        <v>40</v>
      </c>
      <c r="K27" s="7"/>
      <c r="L27" s="7"/>
      <c r="M27" s="7"/>
      <c r="N27" s="7"/>
      <c r="O27" s="7"/>
      <c r="P27" s="7"/>
    </row>
    <row r="28" spans="1:25" x14ac:dyDescent="0.3">
      <c r="A28" s="10" t="s">
        <v>36</v>
      </c>
      <c r="B28" s="7">
        <v>23</v>
      </c>
      <c r="C28" s="7">
        <v>209</v>
      </c>
      <c r="D28" s="14">
        <v>147701.65000000002</v>
      </c>
      <c r="E28" s="14">
        <f t="shared" si="1"/>
        <v>706.70645933014362</v>
      </c>
      <c r="G28" s="7"/>
      <c r="H28" s="7"/>
      <c r="I28" s="15" t="s">
        <v>46</v>
      </c>
      <c r="J28" s="7">
        <v>55</v>
      </c>
      <c r="K28" s="7"/>
      <c r="L28" s="7"/>
      <c r="M28" s="7"/>
      <c r="N28" s="7"/>
      <c r="O28" s="7"/>
      <c r="P28" s="7"/>
    </row>
    <row r="29" spans="1:25" x14ac:dyDescent="0.3">
      <c r="A29" s="7"/>
      <c r="B29" s="7"/>
      <c r="C29" s="7"/>
      <c r="D29" s="7"/>
      <c r="E29" s="14"/>
      <c r="G29" s="7"/>
      <c r="H29" s="7"/>
      <c r="I29" s="15" t="s">
        <v>85</v>
      </c>
      <c r="J29" s="7">
        <v>49</v>
      </c>
      <c r="K29" s="7"/>
      <c r="L29" s="7"/>
      <c r="M29" s="7"/>
      <c r="N29" s="7"/>
      <c r="O29" s="7"/>
      <c r="P29" s="7"/>
    </row>
    <row r="30" spans="1:25" x14ac:dyDescent="0.3">
      <c r="A30" s="7" t="s">
        <v>8</v>
      </c>
      <c r="B30" s="7" t="s">
        <v>656</v>
      </c>
      <c r="C30" s="7" t="s">
        <v>669</v>
      </c>
      <c r="D30" s="7"/>
      <c r="E30" s="7"/>
      <c r="G30" s="7"/>
      <c r="H30" s="7"/>
      <c r="I30" s="15" t="s">
        <v>77</v>
      </c>
      <c r="J30" s="7">
        <v>52</v>
      </c>
      <c r="K30" s="7"/>
      <c r="L30" s="7"/>
      <c r="M30" s="7"/>
      <c r="N30" s="7"/>
      <c r="O30" s="7"/>
      <c r="P30" s="7"/>
    </row>
    <row r="31" spans="1:25" x14ac:dyDescent="0.3">
      <c r="A31" s="10" t="s">
        <v>22</v>
      </c>
      <c r="B31" s="7">
        <v>364534.74999999988</v>
      </c>
      <c r="C31" s="14">
        <v>258999.79999999996</v>
      </c>
      <c r="D31" s="7"/>
      <c r="E31" s="7"/>
      <c r="G31" s="7"/>
      <c r="H31" s="7"/>
      <c r="I31" s="10" t="s">
        <v>649</v>
      </c>
      <c r="J31" s="7">
        <v>966</v>
      </c>
      <c r="K31" s="7"/>
      <c r="L31" s="7"/>
      <c r="M31" s="7"/>
      <c r="N31" s="7"/>
      <c r="O31" s="7"/>
      <c r="P31" s="7"/>
    </row>
    <row r="32" spans="1:25" x14ac:dyDescent="0.3">
      <c r="A32" s="10" t="s">
        <v>40</v>
      </c>
      <c r="B32" s="7">
        <v>249207.50000000012</v>
      </c>
      <c r="C32" s="14">
        <v>151354.15000000002</v>
      </c>
      <c r="D32" s="7"/>
      <c r="E32" s="7"/>
    </row>
    <row r="33" spans="1:5" x14ac:dyDescent="0.3">
      <c r="A33" s="10" t="s">
        <v>15</v>
      </c>
      <c r="B33" s="7">
        <v>254811.69999999998</v>
      </c>
      <c r="C33" s="14">
        <v>147734.30000000005</v>
      </c>
      <c r="D33" s="7"/>
      <c r="E33" s="7"/>
    </row>
    <row r="34" spans="1:5" x14ac:dyDescent="0.3">
      <c r="A34" s="10" t="s">
        <v>36</v>
      </c>
      <c r="B34" s="7">
        <v>202388.35</v>
      </c>
      <c r="C34" s="14">
        <v>147701.65000000002</v>
      </c>
      <c r="D34" s="7"/>
      <c r="E34" s="7"/>
    </row>
    <row r="35" spans="1:5" x14ac:dyDescent="0.3">
      <c r="A35" s="7">
        <v>6</v>
      </c>
    </row>
    <row r="36" spans="1:5" x14ac:dyDescent="0.3">
      <c r="A36" s="7" t="s">
        <v>8</v>
      </c>
      <c r="B36" s="7" t="s">
        <v>650</v>
      </c>
      <c r="C36" s="7" t="s">
        <v>669</v>
      </c>
      <c r="D36" s="22" t="s">
        <v>688</v>
      </c>
    </row>
    <row r="37" spans="1:5" x14ac:dyDescent="0.3">
      <c r="A37" s="10" t="s">
        <v>22</v>
      </c>
      <c r="B37" s="7">
        <v>139</v>
      </c>
      <c r="C37" s="14">
        <v>258999.79999999996</v>
      </c>
      <c r="D37" s="14">
        <f>C37/B37</f>
        <v>1863.3079136690644</v>
      </c>
    </row>
    <row r="38" spans="1:5" x14ac:dyDescent="0.3">
      <c r="A38" s="10" t="s">
        <v>40</v>
      </c>
      <c r="B38" s="7">
        <v>128</v>
      </c>
      <c r="C38" s="14">
        <v>151354.15000000002</v>
      </c>
      <c r="D38" s="14">
        <f t="shared" ref="D38:D40" si="2">C38/B38</f>
        <v>1182.4542968750002</v>
      </c>
    </row>
    <row r="39" spans="1:5" x14ac:dyDescent="0.3">
      <c r="A39" s="10" t="s">
        <v>15</v>
      </c>
      <c r="B39" s="7">
        <v>119</v>
      </c>
      <c r="C39" s="14">
        <v>147734.30000000005</v>
      </c>
      <c r="D39" s="14">
        <f t="shared" si="2"/>
        <v>1241.4647058823534</v>
      </c>
    </row>
    <row r="40" spans="1:5" x14ac:dyDescent="0.3">
      <c r="A40" s="10" t="s">
        <v>36</v>
      </c>
      <c r="B40" s="7">
        <v>114</v>
      </c>
      <c r="C40" s="14">
        <v>147701.65000000002</v>
      </c>
      <c r="D40" s="14">
        <f t="shared" si="2"/>
        <v>1295.62850877193</v>
      </c>
    </row>
    <row r="43" spans="1:5" x14ac:dyDescent="0.3">
      <c r="A43" s="19" t="s">
        <v>686</v>
      </c>
    </row>
    <row r="44" spans="1:5" x14ac:dyDescent="0.3">
      <c r="A44" s="7" t="s">
        <v>10</v>
      </c>
      <c r="B44" s="7" t="s">
        <v>670</v>
      </c>
    </row>
    <row r="45" spans="1:5" x14ac:dyDescent="0.3">
      <c r="A45" s="10" t="s">
        <v>24</v>
      </c>
      <c r="B45" s="7">
        <v>81</v>
      </c>
    </row>
    <row r="46" spans="1:5" x14ac:dyDescent="0.3">
      <c r="A46" s="10" t="s">
        <v>17</v>
      </c>
      <c r="B46" s="7">
        <v>329</v>
      </c>
    </row>
    <row r="47" spans="1:5" x14ac:dyDescent="0.3">
      <c r="A47" s="10" t="s">
        <v>50</v>
      </c>
      <c r="B47" s="7">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61CDA-6C36-4A74-8072-59066361C0E7}">
  <sheetPr>
    <tabColor theme="9" tint="0.79998168889431442"/>
  </sheetPr>
  <dimension ref="A1:AQ54"/>
  <sheetViews>
    <sheetView tabSelected="1" zoomScale="81" zoomScaleNormal="60" workbookViewId="0">
      <selection activeCell="D13" sqref="D13"/>
    </sheetView>
  </sheetViews>
  <sheetFormatPr defaultRowHeight="14.4" x14ac:dyDescent="0.3"/>
  <cols>
    <col min="5" max="5" width="5" customWidth="1"/>
  </cols>
  <sheetData>
    <row r="1" spans="1:43"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row>
    <row r="2" spans="1:43"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row>
    <row r="3" spans="1:43"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row>
    <row r="4" spans="1:43"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row>
    <row r="5" spans="1:43"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row>
    <row r="6" spans="1:43"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row>
    <row r="7" spans="1:43"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row>
    <row r="8" spans="1:43"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row>
    <row r="9" spans="1:43"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row>
    <row r="10" spans="1:43"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row>
    <row r="11" spans="1:43"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row>
    <row r="12" spans="1:43"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row>
    <row r="13" spans="1:43"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row>
    <row r="14" spans="1:43"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row>
    <row r="15" spans="1:43"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row>
    <row r="16" spans="1:43"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row>
    <row r="17" spans="1:43"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row>
    <row r="18" spans="1:43"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row>
    <row r="19" spans="1:43"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row>
    <row r="20" spans="1:43"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row>
    <row r="21" spans="1:43"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row>
    <row r="22" spans="1:43"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row>
    <row r="23" spans="1:43"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row>
    <row r="24" spans="1:43"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row>
    <row r="25" spans="1:43"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row>
    <row r="26" spans="1:43"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row>
    <row r="27" spans="1:43"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row>
    <row r="28" spans="1:43"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row>
    <row r="29" spans="1:43"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row>
    <row r="30" spans="1:43"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row>
    <row r="31" spans="1:43"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row>
    <row r="32" spans="1:43"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row>
    <row r="33" spans="1:43"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row>
    <row r="34" spans="1:43"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row>
    <row r="35" spans="1:43"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row>
    <row r="36" spans="1:43"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C478AB6-A280-45DD-A65A-A1AC0C5D56DB}">
  <ds:schemaRefs/>
</ds:datastoreItem>
</file>

<file path=customXml/itemProps2.xml><?xml version="1.0" encoding="utf-8"?>
<ds:datastoreItem xmlns:ds="http://schemas.openxmlformats.org/officeDocument/2006/customXml" ds:itemID="{D22C59B0-D39E-4D10-9AA2-6A62011465C3}">
  <ds:schemaRefs/>
</ds:datastoreItem>
</file>

<file path=customXml/itemProps3.xml><?xml version="1.0" encoding="utf-8"?>
<ds:datastoreItem xmlns:ds="http://schemas.openxmlformats.org/officeDocument/2006/customXml" ds:itemID="{0BE3BED6-9C1B-44BC-9B2E-6130B270D75C}">
  <ds:schemaRefs/>
</ds:datastoreItem>
</file>

<file path=customXml/itemProps4.xml><?xml version="1.0" encoding="utf-8"?>
<ds:datastoreItem xmlns:ds="http://schemas.openxmlformats.org/officeDocument/2006/customXml" ds:itemID="{C67609CE-8944-4048-AE63-ADD3B5854CB1}">
  <ds:schemaRefs/>
</ds:datastoreItem>
</file>

<file path=customXml/itemProps5.xml><?xml version="1.0" encoding="utf-8"?>
<ds:datastoreItem xmlns:ds="http://schemas.openxmlformats.org/officeDocument/2006/customXml" ds:itemID="{419FD25D-EFDE-4BDA-93EF-1764A217579B}">
  <ds:schemaRefs/>
</ds:datastoreItem>
</file>

<file path=customXml/itemProps6.xml><?xml version="1.0" encoding="utf-8"?>
<ds:datastoreItem xmlns:ds="http://schemas.openxmlformats.org/officeDocument/2006/customXml" ds:itemID="{056BC9D2-E460-4215-A98F-A051EAE4A414}">
  <ds:schemaRefs/>
</ds:datastoreItem>
</file>

<file path=customXml/itemProps7.xml><?xml version="1.0" encoding="utf-8"?>
<ds:datastoreItem xmlns:ds="http://schemas.openxmlformats.org/officeDocument/2006/customXml" ds:itemID="{79B86E53-D42A-4425-8581-67E7FBF86F91}">
  <ds:schemaRefs/>
</ds:datastoreItem>
</file>

<file path=customXml/itemProps8.xml><?xml version="1.0" encoding="utf-8"?>
<ds:datastoreItem xmlns:ds="http://schemas.openxmlformats.org/officeDocument/2006/customXml" ds:itemID="{7ED1855F-E276-4541-95E8-71C2471305E1}">
  <ds:schemaRefs/>
</ds:datastoreItem>
</file>

<file path=customXml/itemProps9.xml><?xml version="1.0" encoding="utf-8"?>
<ds:datastoreItem xmlns:ds="http://schemas.openxmlformats.org/officeDocument/2006/customXml" ds:itemID="{AEF32BCC-5240-4004-B2C5-BF1A4DDB531C}">
  <ds:schemaRefs/>
</ds:datastoreItem>
</file>

<file path=customXml/itemProps10.xml><?xml version="1.0" encoding="utf-8"?>
<ds:datastoreItem xmlns:ds="http://schemas.openxmlformats.org/officeDocument/2006/customXml" ds:itemID="{68C789FC-D9BF-4ABC-9503-EB5AA97B41AE}">
  <ds:schemaRefs/>
</ds:datastoreItem>
</file>

<file path=customXml/itemProps11.xml><?xml version="1.0" encoding="utf-8"?>
<ds:datastoreItem xmlns:ds="http://schemas.openxmlformats.org/officeDocument/2006/customXml" ds:itemID="{C3289540-6836-4B26-8707-2E3420345669}">
  <ds:schemaRefs/>
</ds:datastoreItem>
</file>

<file path=customXml/itemProps12.xml><?xml version="1.0" encoding="utf-8"?>
<ds:datastoreItem xmlns:ds="http://schemas.openxmlformats.org/officeDocument/2006/customXml" ds:itemID="{2C21BB84-99F4-447B-86BB-7FD7CA6B9D8E}">
  <ds:schemaRefs/>
</ds:datastoreItem>
</file>

<file path=customXml/itemProps13.xml><?xml version="1.0" encoding="utf-8"?>
<ds:datastoreItem xmlns:ds="http://schemas.openxmlformats.org/officeDocument/2006/customXml" ds:itemID="{711F44BB-A2FC-4181-9814-B01457D5B65B}">
  <ds:schemaRefs/>
</ds:datastoreItem>
</file>

<file path=customXml/itemProps14.xml><?xml version="1.0" encoding="utf-8"?>
<ds:datastoreItem xmlns:ds="http://schemas.openxmlformats.org/officeDocument/2006/customXml" ds:itemID="{74B590D4-B43D-4577-8165-BE67DC269870}">
  <ds:schemaRefs/>
</ds:datastoreItem>
</file>

<file path=customXml/itemProps15.xml><?xml version="1.0" encoding="utf-8"?>
<ds:datastoreItem xmlns:ds="http://schemas.openxmlformats.org/officeDocument/2006/customXml" ds:itemID="{EDA78E59-F1E6-416A-8F9F-72DF7C185ADB}">
  <ds:schemaRefs/>
</ds:datastoreItem>
</file>

<file path=customXml/itemProps16.xml><?xml version="1.0" encoding="utf-8"?>
<ds:datastoreItem xmlns:ds="http://schemas.openxmlformats.org/officeDocument/2006/customXml" ds:itemID="{DDDED35F-C279-4DBD-B5D0-CD314394FA23}">
  <ds:schemaRefs/>
</ds:datastoreItem>
</file>

<file path=customXml/itemProps17.xml><?xml version="1.0" encoding="utf-8"?>
<ds:datastoreItem xmlns:ds="http://schemas.openxmlformats.org/officeDocument/2006/customXml" ds:itemID="{8F6FD842-5F72-4CDA-A43B-06C0D0F71AF8}">
  <ds:schemaRefs/>
</ds:datastoreItem>
</file>

<file path=customXml/itemProps18.xml><?xml version="1.0" encoding="utf-8"?>
<ds:datastoreItem xmlns:ds="http://schemas.openxmlformats.org/officeDocument/2006/customXml" ds:itemID="{035B7DAB-A073-41B1-9D58-18AE0CA8D5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vt:lpstr>
      <vt:lpstr>ecommerce_orders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Dharambir Pradhan</dc:creator>
  <cp:lastModifiedBy>Dharambir Pradhan</cp:lastModifiedBy>
  <dcterms:created xsi:type="dcterms:W3CDTF">2015-06-05T18:17:20Z</dcterms:created>
  <dcterms:modified xsi:type="dcterms:W3CDTF">2026-09-25T03:27:56Z</dcterms:modified>
</cp:coreProperties>
</file>